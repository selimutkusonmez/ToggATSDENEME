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600" firstSheet="0" activeTab="1" autoFilterDateGrouping="1"/>
  </bookViews>
  <sheets>
    <sheet xmlns:r="http://schemas.openxmlformats.org/officeDocument/2006/relationships" name="ARAÇ TAKİP ANA" sheetId="1" state="visible" r:id="rId1"/>
    <sheet xmlns:r="http://schemas.openxmlformats.org/officeDocument/2006/relationships" name="KULLANIM" sheetId="2" state="visible" r:id="rId2"/>
    <sheet xmlns:r="http://schemas.openxmlformats.org/officeDocument/2006/relationships" name="YÖNETİCİ PANELİ" sheetId="3" state="visible" r:id="rId3"/>
    <sheet xmlns:r="http://schemas.openxmlformats.org/officeDocument/2006/relationships" name="İNCELEME SÜRECİ" sheetId="4" state="visible" r:id="rId4"/>
    <sheet xmlns:r="http://schemas.openxmlformats.org/officeDocument/2006/relationships" name="ATÖLYE İŞLEMDE" sheetId="5" state="visible" r:id="rId5"/>
    <sheet xmlns:r="http://schemas.openxmlformats.org/officeDocument/2006/relationships" name="PARÇA BEKLİYOR" sheetId="6" state="visible" r:id="rId6"/>
    <sheet xmlns:r="http://schemas.openxmlformats.org/officeDocument/2006/relationships" name="TESLİMAT SÜRECİNDE " sheetId="7" state="visible" r:id="rId7"/>
  </sheets>
  <definedNames>
    <definedName name="_xlnm._FilterDatabase" localSheetId="0" hidden="1">'ARAÇ TAKİP ANA'!$A$1:$H$500</definedName>
    <definedName name="_xlnm._FilterDatabase" localSheetId="3" hidden="1">'İNCELEME SÜRECİ'!$A$1:$D$31</definedName>
    <definedName name="_xlnm._FilterDatabase" localSheetId="4" hidden="1">'ATÖLYE İŞLEMDE'!$A$1:$E$21</definedName>
    <definedName name="_xlnm._FilterDatabase" localSheetId="5" hidden="1">'PARÇA BEKLİYOR'!$A$1:$C$23</definedName>
    <definedName name="_xlnm._FilterDatabase" localSheetId="6" hidden="1">'TESLİMAT SÜRECİNDE '!$A$1:$C$27</definedName>
  </definedNames>
  <calcPr calcId="191028" calcMode="auto" fullCalcOnLoad="1" forceFullCalc="1"/>
</workbook>
</file>

<file path=xl/styles.xml><?xml version="1.0" encoding="utf-8"?>
<styleSheet xmlns="http://schemas.openxmlformats.org/spreadsheetml/2006/main">
  <numFmts count="1">
    <numFmt numFmtId="164" formatCode="dd.mm.yyyy hh:mm"/>
  </numFmts>
  <fonts count="7">
    <font>
      <name val="Calibri"/>
      <family val="2"/>
      <color theme="1"/>
      <sz val="11"/>
      <scheme val="minor"/>
    </font>
    <font>
      <name val="Segoe UI"/>
      <b val="1"/>
      <color rgb="FFFFFFFF"/>
      <sz val="11"/>
    </font>
    <font>
      <name val="Segoe UI"/>
      <color rgb="FF000000"/>
      <sz val="10"/>
    </font>
    <font>
      <name val="Calibri"/>
      <charset val="162"/>
      <family val="2"/>
      <b val="1"/>
      <color theme="1"/>
      <sz val="11"/>
      <scheme val="minor"/>
    </font>
    <font>
      <b val="1"/>
    </font>
    <font>
      <b val="1"/>
      <sz val="16"/>
    </font>
    <font>
      <b val="1"/>
      <color rgb="00FFFFFF"/>
    </font>
  </fonts>
  <fills count="16">
    <fill>
      <patternFill/>
    </fill>
    <fill>
      <patternFill patternType="gray125"/>
    </fill>
    <fill>
      <patternFill patternType="solid">
        <fgColor rgb="FF1F497D"/>
        <bgColor rgb="FF1F497D"/>
      </patternFill>
    </fill>
    <fill>
      <patternFill patternType="solid">
        <fgColor rgb="FFFFFF99"/>
        <bgColor rgb="FFFFFF99"/>
      </patternFill>
    </fill>
    <fill>
      <patternFill patternType="solid">
        <fgColor theme="3" tint="0.599993896298104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99CCFF"/>
      </patternFill>
    </fill>
    <fill>
      <patternFill patternType="solid">
        <fgColor theme="0"/>
        <bgColor rgb="FFFFFF99"/>
      </patternFill>
    </fill>
    <fill>
      <patternFill patternType="solid">
        <fgColor theme="7" tint="0.3999755851924192"/>
        <bgColor rgb="FF99CCFF"/>
      </patternFill>
    </fill>
    <fill>
      <patternFill patternType="solid">
        <fgColor theme="7" tint="0.3999755851924192"/>
        <bgColor rgb="FFFFFFFF"/>
      </patternFill>
    </fill>
    <fill>
      <patternFill patternType="solid">
        <fgColor theme="5" tint="0.3999755851924192"/>
        <bgColor rgb="FFFFFF99"/>
      </patternFill>
    </fill>
    <fill>
      <patternFill patternType="solid">
        <fgColor theme="5" tint="0.3999755851924192"/>
        <bgColor rgb="FFFFFFFF"/>
      </patternFill>
    </fill>
    <fill>
      <patternFill patternType="solid">
        <fgColor rgb="00D9EAF7"/>
      </patternFill>
    </fill>
    <fill>
      <patternFill patternType="solid">
        <fgColor rgb="00E2F0D9"/>
      </patternFill>
    </fill>
    <fill>
      <patternFill patternType="solid">
        <fgColor rgb="00FFF2CC"/>
      </patternFill>
    </fill>
    <fill>
      <patternFill patternType="solid">
        <fgColor rgb="001F4E78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bottom style="thin">
        <color rgb="00D9D9D9"/>
      </bottom>
    </border>
    <border>
      <left/>
      <right/>
      <top/>
      <bottom style="thin">
        <color rgb="00D9D9D9"/>
      </bottom>
      <diagonal/>
    </border>
    <border>
      <right/>
      <bottom style="thin">
        <color rgb="00D9D9D9"/>
      </bottom>
    </border>
    <border>
      <bottom style="thin">
        <color rgb="00D9E1F2"/>
      </bottom>
    </border>
  </borders>
  <cellStyleXfs count="1">
    <xf numFmtId="0" fontId="0" fillId="0" borderId="0"/>
  </cellStyleXfs>
  <cellXfs count="50">
    <xf numFmtId="0" fontId="0" fillId="0" borderId="0" pivotButton="0" quotePrefix="0" xfId="0"/>
    <xf numFmtId="0" fontId="0" fillId="0" borderId="0" applyAlignment="1" pivotButton="0" quotePrefix="0" xfId="0">
      <alignment vertical="center" wrapText="1"/>
    </xf>
    <xf numFmtId="0" fontId="0" fillId="5" borderId="0" applyAlignment="1" pivotButton="0" quotePrefix="0" xfId="0">
      <alignment vertical="center"/>
    </xf>
    <xf numFmtId="0" fontId="0" fillId="0" borderId="1" applyAlignment="1" pivotButton="0" quotePrefix="0" xfId="0">
      <alignment vertical="center" wrapText="1"/>
    </xf>
    <xf numFmtId="0" fontId="0" fillId="0" borderId="1" applyAlignment="1" pivotButton="0" quotePrefix="0" xfId="0">
      <alignment horizontal="center" vertical="center" wrapText="1"/>
    </xf>
    <xf numFmtId="11" fontId="0" fillId="0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left" vertical="center"/>
    </xf>
    <xf numFmtId="0" fontId="2" fillId="7" borderId="1" applyAlignment="1" pivotButton="0" quotePrefix="0" xfId="0">
      <alignment horizontal="center" vertical="center"/>
    </xf>
    <xf numFmtId="0" fontId="2" fillId="7" borderId="1" applyAlignment="1" pivotButton="0" quotePrefix="0" xfId="0">
      <alignment horizontal="left" vertical="center"/>
    </xf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2" fillId="8" borderId="1" applyAlignment="1" pivotButton="0" quotePrefix="0" xfId="0">
      <alignment horizontal="center" vertical="center"/>
    </xf>
    <xf numFmtId="0" fontId="2" fillId="8" borderId="1" applyAlignment="1" pivotButton="0" quotePrefix="0" xfId="0">
      <alignment horizontal="left" vertical="center"/>
    </xf>
    <xf numFmtId="0" fontId="2" fillId="9" borderId="1" applyAlignment="1" pivotButton="0" quotePrefix="0" xfId="0">
      <alignment horizontal="center" vertical="center"/>
    </xf>
    <xf numFmtId="0" fontId="2" fillId="9" borderId="1" applyAlignment="1" pivotButton="0" quotePrefix="0" xfId="0">
      <alignment horizontal="left" vertical="center"/>
    </xf>
    <xf numFmtId="0" fontId="2" fillId="10" borderId="1" applyAlignment="1" pivotButton="0" quotePrefix="0" xfId="0">
      <alignment horizontal="center" vertical="center"/>
    </xf>
    <xf numFmtId="0" fontId="2" fillId="10" borderId="1" applyAlignment="1" pivotButton="0" quotePrefix="0" xfId="0">
      <alignment horizontal="left" vertical="center"/>
    </xf>
    <xf numFmtId="0" fontId="2" fillId="11" borderId="1" applyAlignment="1" pivotButton="0" quotePrefix="0" xfId="0">
      <alignment horizontal="center" vertical="center"/>
    </xf>
    <xf numFmtId="0" fontId="2" fillId="11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5" fillId="12" borderId="6" applyAlignment="1" pivotButton="0" quotePrefix="0" xfId="0">
      <alignment vertical="center"/>
    </xf>
    <xf numFmtId="0" fontId="0" fillId="0" borderId="6" applyAlignment="1" pivotButton="0" quotePrefix="0" xfId="0">
      <alignment vertical="center"/>
    </xf>
    <xf numFmtId="0" fontId="4" fillId="12" borderId="6" applyAlignment="1" pivotButton="0" quotePrefix="0" xfId="0">
      <alignment vertical="center"/>
    </xf>
    <xf numFmtId="0" fontId="4" fillId="13" borderId="6" applyAlignment="1" pivotButton="0" quotePrefix="0" xfId="0">
      <alignment vertical="center"/>
    </xf>
    <xf numFmtId="0" fontId="4" fillId="14" borderId="6" applyAlignment="1" pivotButton="0" quotePrefix="0" xfId="0">
      <alignment vertical="center"/>
    </xf>
    <xf numFmtId="0" fontId="0" fillId="0" borderId="1" applyAlignment="1" pivotButton="0" quotePrefix="0" xfId="0">
      <alignment vertical="top" wrapText="1"/>
    </xf>
    <xf numFmtId="0" fontId="4" fillId="1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wrapText="1"/>
    </xf>
    <xf numFmtId="0" fontId="2" fillId="6" borderId="1" applyAlignment="1" pivotButton="0" quotePrefix="0" xfId="0">
      <alignment vertical="top" wrapText="1"/>
    </xf>
    <xf numFmtId="0" fontId="2" fillId="7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2" fillId="8" borderId="1" applyAlignment="1" pivotButton="0" quotePrefix="0" xfId="0">
      <alignment vertical="top" wrapText="1"/>
    </xf>
    <xf numFmtId="0" fontId="2" fillId="11" borderId="1" applyAlignment="1" pivotButton="0" quotePrefix="0" xfId="0">
      <alignment vertical="top" wrapText="1"/>
    </xf>
    <xf numFmtId="0" fontId="2" fillId="10" borderId="1" applyAlignment="1" pivotButton="0" quotePrefix="0" xfId="0">
      <alignment vertical="top" wrapText="1"/>
    </xf>
    <xf numFmtId="0" fontId="2" fillId="9" borderId="1" applyAlignment="1" pivotButton="0" quotePrefix="0" xfId="0">
      <alignment vertical="top" wrapText="1"/>
    </xf>
    <xf numFmtId="0" fontId="6" fillId="15" borderId="0" applyAlignment="1" pivotButton="0" quotePrefix="0" xfId="0">
      <alignment horizontal="center"/>
    </xf>
    <xf numFmtId="0" fontId="6" fillId="15" borderId="0" pivotButton="0" quotePrefix="0" xfId="0"/>
    <xf numFmtId="0" fontId="0" fillId="0" borderId="7" pivotButton="0" quotePrefix="0" xfId="0"/>
    <xf numFmtId="0" fontId="6" fillId="15" borderId="6" applyAlignment="1" pivotButton="0" quotePrefix="0" xfId="0">
      <alignment vertical="center"/>
    </xf>
    <xf numFmtId="1" fontId="0" fillId="0" borderId="6" applyAlignment="1" pivotButton="0" quotePrefix="0" xfId="0">
      <alignment vertical="center"/>
    </xf>
    <xf numFmtId="0" fontId="6" fillId="15" borderId="9" applyAlignment="1" pivotButton="0" quotePrefix="0" xfId="0">
      <alignment horizontal="center" vertical="center" wrapText="1"/>
    </xf>
    <xf numFmtId="0" fontId="0" fillId="0" borderId="9" applyAlignment="1" pivotButton="0" quotePrefix="0" xfId="0">
      <alignment vertical="center" wrapText="1"/>
    </xf>
    <xf numFmtId="164" fontId="0" fillId="0" borderId="9" applyAlignment="1" pivotButton="0" quotePrefix="0" xfId="0">
      <alignment vertical="center" wrapText="1"/>
    </xf>
    <xf numFmtId="0" fontId="5" fillId="12" borderId="8" applyAlignment="1" pivotButton="0" quotePrefix="0" xfId="0">
      <alignment vertical="center"/>
    </xf>
  </cellXfs>
  <cellStyles count="1">
    <cellStyle name="Normal" xfId="0" builtinId="0"/>
  </cellStyles>
  <dxfs count="9">
    <dxf>
      <fill>
        <patternFill patternType="solid">
          <fgColor rgb="00FFF2CC"/>
        </patternFill>
      </fill>
    </dxf>
    <dxf>
      <font>
        <b val="1"/>
      </font>
      <fill>
        <patternFill patternType="solid">
          <fgColor rgb="00FFF2CC"/>
        </patternFill>
      </fill>
    </dxf>
    <dxf>
      <font>
        <b val="1"/>
      </font>
      <fill>
        <patternFill patternType="solid">
          <fgColor rgb="00FCE4D6"/>
        </patternFill>
      </fill>
    </dxf>
    <dxf>
      <fill>
        <patternFill patternType="solid">
          <fgColor rgb="00DDEBF7"/>
        </patternFill>
      </fill>
    </dxf>
    <dxf>
      <fill>
        <patternFill patternType="solid">
          <fgColor rgb="00E2F0D9"/>
        </patternFill>
      </fill>
    </dxf>
    <dxf>
      <fill>
        <patternFill patternType="solid">
          <fgColor rgb="00FCE4D6"/>
        </patternFill>
      </fill>
    </dxf>
    <dxf>
      <fill>
        <patternFill patternType="solid">
          <fgColor rgb="00E4DFEC"/>
        </patternFill>
      </fill>
    </dxf>
    <dxf>
      <fill>
        <patternFill patternType="solid">
          <fgColor rgb="00E7E6E6"/>
        </patternFill>
      </fill>
    </dxf>
    <dxf>
      <font>
        <b val="1"/>
      </font>
      <fill>
        <patternFill patternType="solid">
          <fgColor rgb="00F4CCCC"/>
        </patternFill>
      </fill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comments/comment1.xml><?xml version="1.0" encoding="utf-8"?>
<comments xmlns="http://schemas.openxmlformats.org/spreadsheetml/2006/main">
  <authors>
    <author>OpenAI</author>
  </authors>
  <commentList>
    <comment ref="A1" authorId="0" shapeId="0">
      <text>
        <t>Ana kaynak: Her araç burada tek satır olarak tutulur. Süreç değişince diğer süreç sayfalarında otomatik görünmesi hedeflenir.</t>
      </text>
    </comment>
    <comment ref="D1" authorId="0" shapeId="0">
      <text>
        <t>Detay değiştiğinde GÜNCELLEME sütunu otomatik olarak GÜNCELLENDİ olur.</t>
      </text>
    </comment>
    <comment ref="F1" authorId="0" shapeId="0">
      <text>
        <t>Detay metninde parça değişimi/değişecek/değişim ifadeleri varsa otomatik PARÇA DEĞİŞİMİ olur.</t>
      </text>
    </comment>
  </commentList>
</comments>
</file>

<file path=xl/tables/table1.xml><?xml version="1.0" encoding="utf-8"?>
<table xmlns="http://schemas.openxmlformats.org/spreadsheetml/2006/main" id="1" name="AnaTakipTablosu" displayName="AnaTakipTablosu" ref="A1:H500" headerRowCount="1">
  <autoFilter ref="A1:H500"/>
  <tableColumns count="8">
    <tableColumn id="1" name="PLAKA"/>
    <tableColumn id="2" name="ŞASİ"/>
    <tableColumn id="3" name="SÜREÇ"/>
    <tableColumn id="4" name="DETAY / YAPILACAK İŞLEM"/>
    <tableColumn id="5" name="BAŞLANGIÇ DETAYI"/>
    <tableColumn id="6" name="PARÇA DEĞİŞİMİ"/>
    <tableColumn id="7" name="GÜNCELLEME"/>
    <tableColumn id="8" name="SON GÜNCELLEME"/>
  </tableColumns>
  <tableStyleInfo name="TableStyleMedium2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0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3" customWidth="1" min="2" max="2"/>
    <col width="22" customWidth="1" min="3" max="3"/>
    <col width="55" customWidth="1" min="4" max="4"/>
    <col width="55" customWidth="1" min="5" max="5"/>
    <col width="28" customWidth="1" min="6" max="6"/>
    <col width="18" customWidth="1" min="7" max="7"/>
    <col width="18" customWidth="1" min="8" max="8"/>
  </cols>
  <sheetData>
    <row r="1" ht="30" customHeight="1">
      <c r="A1" s="46" t="inlineStr">
        <is>
          <t>PLAKA</t>
        </is>
      </c>
      <c r="B1" s="46" t="inlineStr">
        <is>
          <t>ŞASİ</t>
        </is>
      </c>
      <c r="C1" s="46" t="inlineStr">
        <is>
          <t>SÜREÇ</t>
        </is>
      </c>
      <c r="D1" s="46" t="inlineStr">
        <is>
          <t>DETAY / YAPILACAK İŞLEM</t>
        </is>
      </c>
      <c r="E1" s="46" t="inlineStr">
        <is>
          <t>BAŞLANGIÇ DETAYI</t>
        </is>
      </c>
      <c r="F1" s="46" t="inlineStr">
        <is>
          <t>PARÇA DEĞİŞİMİ</t>
        </is>
      </c>
      <c r="G1" s="46" t="inlineStr">
        <is>
          <t>GÜNCELLEME</t>
        </is>
      </c>
      <c r="H1" s="46" t="inlineStr">
        <is>
          <t>SON GÜNCELLEME</t>
        </is>
      </c>
    </row>
    <row r="2">
      <c r="A2" s="47" t="inlineStr">
        <is>
          <t>06KBR85</t>
        </is>
      </c>
      <c r="B2" s="47" t="inlineStr">
        <is>
          <t>NL1CSU0P00G016529</t>
        </is>
      </c>
      <c r="C2" s="47" t="inlineStr">
        <is>
          <t>İnceleme Süreci</t>
        </is>
      </c>
      <c r="D2" s="47" t="inlineStr">
        <is>
          <t>Batarya + OBC arızası mevcut. Talep açılacak.</t>
        </is>
      </c>
      <c r="E2" s="47" t="inlineStr">
        <is>
          <t>Batarya + OBC arızası mevcut. Talep açılacak.</t>
        </is>
      </c>
      <c r="F2" s="47">
        <f>IF(D2="","",IF(OR(ISNUMBER(SEARCH("PARÇA DEĞİŞ",D2)),ISNUMBER(SEARCH("PARCA DEGIS",D2)),ISNUMBER(SEARCH("DEĞİŞECEK",D2)),ISNUMBER(SEARCH("DEGISECEK",D2)),ISNUMBER(SEARCH("DEĞİŞİM",D2)),ISNUMBER(SEARCH("DEGISIM",D2))),"PARÇA DEĞİŞİMİ",""))</f>
        <v/>
      </c>
      <c r="G2" s="47">
        <f>IF(AND(D2&lt;&gt;"",E2&lt;&gt;"",D2&lt;&gt;E2),"GÜNCELLENDİ","")</f>
        <v/>
      </c>
      <c r="H2" s="48" t="inlineStr"/>
    </row>
    <row r="3">
      <c r="A3" s="47" t="inlineStr">
        <is>
          <t>34EB6261</t>
        </is>
      </c>
      <c r="B3" s="47" t="inlineStr">
        <is>
          <t>NL1CSU0PX0G007675</t>
        </is>
      </c>
      <c r="C3" s="47" t="inlineStr">
        <is>
          <t>İnceleme Süreci</t>
        </is>
      </c>
      <c r="D3" s="47" t="inlineStr">
        <is>
          <t>OBC talebi açılacak.</t>
        </is>
      </c>
      <c r="E3" s="47" t="inlineStr">
        <is>
          <t>OBC talebi açılacak.</t>
        </is>
      </c>
      <c r="F3" s="47">
        <f>IF(D3="","",IF(OR(ISNUMBER(SEARCH("PARÇA DEĞİŞ",D3)),ISNUMBER(SEARCH("PARCA DEGIS",D3)),ISNUMBER(SEARCH("DEĞİŞECEK",D3)),ISNUMBER(SEARCH("DEGISECEK",D3)),ISNUMBER(SEARCH("DEĞİŞİM",D3)),ISNUMBER(SEARCH("DEGISIM",D3))),"PARÇA DEĞİŞİMİ",""))</f>
        <v/>
      </c>
      <c r="G3" s="47">
        <f>IF(AND(D3&lt;&gt;"",E3&lt;&gt;"",D3&lt;&gt;E3),"GÜNCELLENDİ","")</f>
        <v/>
      </c>
      <c r="H3" s="48" t="inlineStr"/>
    </row>
    <row r="4">
      <c r="A4" s="47" t="inlineStr">
        <is>
          <t>34HRY262</t>
        </is>
      </c>
      <c r="B4" s="47" t="inlineStr">
        <is>
          <t>NL1CSU0P60G014610</t>
        </is>
      </c>
      <c r="C4" s="47" t="inlineStr">
        <is>
          <t>İnceleme Süreci</t>
        </is>
      </c>
      <c r="D4" s="47" t="inlineStr">
        <is>
          <t>ESA arızası var. Tespit bekliyor.</t>
        </is>
      </c>
      <c r="E4" s="47" t="inlineStr">
        <is>
          <t>ESA arızası var. Tespit bekliyor.</t>
        </is>
      </c>
      <c r="F4" s="47">
        <f>IF(D4="","",IF(OR(ISNUMBER(SEARCH("PARÇA DEĞİŞ",D4)),ISNUMBER(SEARCH("PARCA DEGIS",D4)),ISNUMBER(SEARCH("DEĞİŞECEK",D4)),ISNUMBER(SEARCH("DEGISECEK",D4)),ISNUMBER(SEARCH("DEĞİŞİM",D4)),ISNUMBER(SEARCH("DEGISIM",D4))),"PARÇA DEĞİŞİMİ",""))</f>
        <v/>
      </c>
      <c r="G4" s="47">
        <f>IF(AND(D4&lt;&gt;"",E4&lt;&gt;"",D4&lt;&gt;E4),"GÜNCELLENDİ","")</f>
        <v/>
      </c>
      <c r="H4" s="48" t="inlineStr"/>
    </row>
    <row r="5">
      <c r="A5" s="47" t="inlineStr">
        <is>
          <t>59AJD828</t>
        </is>
      </c>
      <c r="B5" s="47" t="inlineStr">
        <is>
          <t>NL1CSU0B50G028325</t>
        </is>
      </c>
      <c r="C5" s="47" t="inlineStr">
        <is>
          <t>İnceleme Süreci</t>
        </is>
      </c>
      <c r="D5" s="47" t="inlineStr">
        <is>
          <t>Dış sıcaklık yanlış gösteriyor. Tespit bekliyor.</t>
        </is>
      </c>
      <c r="E5" s="47" t="inlineStr">
        <is>
          <t>Dış sıcaklık yanlış gösteriyor. Tespit bekliyor.</t>
        </is>
      </c>
      <c r="F5" s="47">
        <f>IF(D5="","",IF(OR(ISNUMBER(SEARCH("PARÇA DEĞİŞ",D5)),ISNUMBER(SEARCH("PARCA DEGIS",D5)),ISNUMBER(SEARCH("DEĞİŞECEK",D5)),ISNUMBER(SEARCH("DEGISECEK",D5)),ISNUMBER(SEARCH("DEĞİŞİM",D5)),ISNUMBER(SEARCH("DEGISIM",D5))),"PARÇA DEĞİŞİMİ",""))</f>
        <v/>
      </c>
      <c r="G5" s="47">
        <f>IF(AND(D5&lt;&gt;"",E5&lt;&gt;"",D5&lt;&gt;E5),"GÜNCELLENDİ","")</f>
        <v/>
      </c>
      <c r="H5" s="48" t="inlineStr"/>
    </row>
    <row r="6">
      <c r="A6" s="47" t="inlineStr">
        <is>
          <t>34MZK467</t>
        </is>
      </c>
      <c r="B6" s="47" t="inlineStr">
        <is>
          <t>NL1CSU0P90G016996</t>
        </is>
      </c>
      <c r="C6" s="47" t="inlineStr">
        <is>
          <t>İnceleme Süreci</t>
        </is>
      </c>
      <c r="D6" s="47" t="inlineStr">
        <is>
          <t>ESA arızası var. Tespit bekliyor.</t>
        </is>
      </c>
      <c r="E6" s="47" t="inlineStr">
        <is>
          <t>ESA arızası var. Tespit bekliyor.</t>
        </is>
      </c>
      <c r="F6" s="47">
        <f>IF(D6="","",IF(OR(ISNUMBER(SEARCH("PARÇA DEĞİŞ",D6)),ISNUMBER(SEARCH("PARCA DEGIS",D6)),ISNUMBER(SEARCH("DEĞİŞECEK",D6)),ISNUMBER(SEARCH("DEGISECEK",D6)),ISNUMBER(SEARCH("DEĞİŞİM",D6)),ISNUMBER(SEARCH("DEGISIM",D6))),"PARÇA DEĞİŞİMİ",""))</f>
        <v/>
      </c>
      <c r="G6" s="47">
        <f>IF(AND(D6&lt;&gt;"",E6&lt;&gt;"",D6&lt;&gt;E6),"GÜNCELLENDİ","")</f>
        <v/>
      </c>
      <c r="H6" s="48" t="inlineStr"/>
    </row>
    <row r="7">
      <c r="A7" s="47" t="inlineStr">
        <is>
          <t>34GE3840</t>
        </is>
      </c>
      <c r="B7" s="47" t="inlineStr">
        <is>
          <t>NL1CSU0P70G025051</t>
        </is>
      </c>
      <c r="C7" s="47" t="inlineStr">
        <is>
          <t>İnceleme Süreci</t>
        </is>
      </c>
      <c r="D7" s="47" t="inlineStr">
        <is>
          <t>Çeşitli arızaları mevcut. Sıra bekliyor.</t>
        </is>
      </c>
      <c r="E7" s="47" t="inlineStr">
        <is>
          <t>Çeşitli arızaları mevcut. Sıra bekliyor.</t>
        </is>
      </c>
      <c r="F7" s="47">
        <f>IF(D7="","",IF(OR(ISNUMBER(SEARCH("PARÇA DEĞİŞ",D7)),ISNUMBER(SEARCH("PARCA DEGIS",D7)),ISNUMBER(SEARCH("DEĞİŞECEK",D7)),ISNUMBER(SEARCH("DEGISECEK",D7)),ISNUMBER(SEARCH("DEĞİŞİM",D7)),ISNUMBER(SEARCH("DEGISIM",D7))),"PARÇA DEĞİŞİMİ",""))</f>
        <v/>
      </c>
      <c r="G7" s="47">
        <f>IF(AND(D7&lt;&gt;"",E7&lt;&gt;"",D7&lt;&gt;E7),"GÜNCELLENDİ","")</f>
        <v/>
      </c>
      <c r="H7" s="48" t="inlineStr"/>
    </row>
    <row r="8">
      <c r="A8" s="47" t="inlineStr">
        <is>
          <t>34ASL859</t>
        </is>
      </c>
      <c r="B8" s="47" t="inlineStr">
        <is>
          <t>NL1CFB0B20G085753</t>
        </is>
      </c>
      <c r="C8" s="47" t="inlineStr">
        <is>
          <t>İnceleme Süreci</t>
        </is>
      </c>
      <c r="D8" s="47" t="inlineStr">
        <is>
          <t>Cihaza enerji gelmiyor. Tespit bekliyor.</t>
        </is>
      </c>
      <c r="E8" s="47" t="inlineStr">
        <is>
          <t>Cihaza enerji gelmiyor. Tespit bekliyor.</t>
        </is>
      </c>
      <c r="F8" s="47">
        <f>IF(D8="","",IF(OR(ISNUMBER(SEARCH("PARÇA DEĞİŞ",D8)),ISNUMBER(SEARCH("PARCA DEGIS",D8)),ISNUMBER(SEARCH("DEĞİŞECEK",D8)),ISNUMBER(SEARCH("DEGISECEK",D8)),ISNUMBER(SEARCH("DEĞİŞİM",D8)),ISNUMBER(SEARCH("DEGISIM",D8))),"PARÇA DEĞİŞİMİ",""))</f>
        <v/>
      </c>
      <c r="G8" s="47">
        <f>IF(AND(D8&lt;&gt;"",E8&lt;&gt;"",D8&lt;&gt;E8),"GÜNCELLENDİ","")</f>
        <v/>
      </c>
      <c r="H8" s="48" t="inlineStr"/>
    </row>
    <row r="9">
      <c r="A9" s="47" t="inlineStr">
        <is>
          <t>34MUL222</t>
        </is>
      </c>
      <c r="B9" s="47" t="inlineStr">
        <is>
          <t>NL1CSU0P70G004605</t>
        </is>
      </c>
      <c r="C9" s="47" t="inlineStr">
        <is>
          <t>İnceleme Süreci</t>
        </is>
      </c>
      <c r="D9" s="47" t="inlineStr">
        <is>
          <t>DC şarj kesiyor. Tespit bekliyor.</t>
        </is>
      </c>
      <c r="E9" s="47" t="inlineStr">
        <is>
          <t>DC şarj kesiyor. Tespit bekliyor.</t>
        </is>
      </c>
      <c r="F9" s="47">
        <f>IF(D9="","",IF(OR(ISNUMBER(SEARCH("PARÇA DEĞİŞ",D9)),ISNUMBER(SEARCH("PARCA DEGIS",D9)),ISNUMBER(SEARCH("DEĞİŞECEK",D9)),ISNUMBER(SEARCH("DEGISECEK",D9)),ISNUMBER(SEARCH("DEĞİŞİM",D9)),ISNUMBER(SEARCH("DEGISIM",D9))),"PARÇA DEĞİŞİMİ",""))</f>
        <v/>
      </c>
      <c r="G9" s="47">
        <f>IF(AND(D9&lt;&gt;"",E9&lt;&gt;"",D9&lt;&gt;E9),"GÜNCELLENDİ","")</f>
        <v/>
      </c>
      <c r="H9" s="48" t="inlineStr"/>
    </row>
    <row r="10">
      <c r="A10" s="47" t="inlineStr">
        <is>
          <t>34HTA072</t>
        </is>
      </c>
      <c r="B10" s="47" t="inlineStr">
        <is>
          <t>NL1CSU0PX0G015291</t>
        </is>
      </c>
      <c r="C10" s="47" t="inlineStr">
        <is>
          <t>İnceleme Süreci</t>
        </is>
      </c>
      <c r="D10" s="47" t="inlineStr">
        <is>
          <t>ESA problemi. Talep açılacak.</t>
        </is>
      </c>
      <c r="E10" s="47" t="inlineStr">
        <is>
          <t>ESA problemi. Talep açılacak.</t>
        </is>
      </c>
      <c r="F10" s="47">
        <f>IF(D10="","",IF(OR(ISNUMBER(SEARCH("PARÇA DEĞİŞ",D10)),ISNUMBER(SEARCH("PARCA DEGIS",D10)),ISNUMBER(SEARCH("DEĞİŞECEK",D10)),ISNUMBER(SEARCH("DEGISECEK",D10)),ISNUMBER(SEARCH("DEĞİŞİM",D10)),ISNUMBER(SEARCH("DEGISIM",D10))),"PARÇA DEĞİŞİMİ",""))</f>
        <v/>
      </c>
      <c r="G10" s="47">
        <f>IF(AND(D10&lt;&gt;"",E10&lt;&gt;"",D10&lt;&gt;E10),"GÜNCELLENDİ","")</f>
        <v/>
      </c>
      <c r="H10" s="48" t="inlineStr"/>
    </row>
    <row r="11">
      <c r="A11" s="47" t="inlineStr">
        <is>
          <t>34NGF698</t>
        </is>
      </c>
      <c r="B11" s="47" t="inlineStr">
        <is>
          <t>NL1CSU0P40G062218</t>
        </is>
      </c>
      <c r="C11" s="47" t="inlineStr">
        <is>
          <t>İnceleme Süreci</t>
        </is>
      </c>
      <c r="D11" s="47" t="inlineStr">
        <is>
          <t>AC şarj problemi. Talep açılacak.</t>
        </is>
      </c>
      <c r="E11" s="47" t="inlineStr">
        <is>
          <t>AC şarj problemi. Talep açılacak.</t>
        </is>
      </c>
      <c r="F11" s="47">
        <f>IF(D11="","",IF(OR(ISNUMBER(SEARCH("PARÇA DEĞİŞ",D11)),ISNUMBER(SEARCH("PARCA DEGIS",D11)),ISNUMBER(SEARCH("DEĞİŞECEK",D11)),ISNUMBER(SEARCH("DEGISECEK",D11)),ISNUMBER(SEARCH("DEĞİŞİM",D11)),ISNUMBER(SEARCH("DEGISIM",D11))),"PARÇA DEĞİŞİMİ",""))</f>
        <v/>
      </c>
      <c r="G11" s="47">
        <f>IF(AND(D11&lt;&gt;"",E11&lt;&gt;"",D11&lt;&gt;E11),"GÜNCELLENDİ","")</f>
        <v/>
      </c>
      <c r="H11" s="48" t="inlineStr"/>
    </row>
    <row r="12">
      <c r="A12" s="47" t="inlineStr">
        <is>
          <t>34TC9227</t>
        </is>
      </c>
      <c r="B12" s="47" t="inlineStr">
        <is>
          <t>NL1CSU0P10G028060</t>
        </is>
      </c>
      <c r="C12" s="47" t="inlineStr">
        <is>
          <t>İnceleme Süreci</t>
        </is>
      </c>
      <c r="D12" s="47" t="inlineStr">
        <is>
          <t>Park sensörü arızası mevcut. Tespit bekliyor.</t>
        </is>
      </c>
      <c r="E12" s="47" t="inlineStr">
        <is>
          <t>Park sensörü arızası mevcut. Tespit bekliyor.</t>
        </is>
      </c>
      <c r="F12" s="47">
        <f>IF(D12="","",IF(OR(ISNUMBER(SEARCH("PARÇA DEĞİŞ",D12)),ISNUMBER(SEARCH("PARCA DEGIS",D12)),ISNUMBER(SEARCH("DEĞİŞECEK",D12)),ISNUMBER(SEARCH("DEGISECEK",D12)),ISNUMBER(SEARCH("DEĞİŞİM",D12)),ISNUMBER(SEARCH("DEGISIM",D12))),"PARÇA DEĞİŞİMİ",""))</f>
        <v/>
      </c>
      <c r="G12" s="47">
        <f>IF(AND(D12&lt;&gt;"",E12&lt;&gt;"",D12&lt;&gt;E12),"GÜNCELLENDİ","")</f>
        <v/>
      </c>
      <c r="H12" s="48" t="inlineStr"/>
    </row>
    <row r="13">
      <c r="A13" s="47" t="inlineStr">
        <is>
          <t>39AFB523</t>
        </is>
      </c>
      <c r="B13" s="47" t="inlineStr">
        <is>
          <t>NL1CSU0P70G100038</t>
        </is>
      </c>
      <c r="C13" s="47" t="inlineStr">
        <is>
          <t>İnceleme Süreci</t>
        </is>
      </c>
      <c r="D13" s="47" t="inlineStr">
        <is>
          <t>AC şarj arızası var. Tespit bekliyor.</t>
        </is>
      </c>
      <c r="E13" s="47" t="inlineStr">
        <is>
          <t>AC şarj arızası var. Tespit bekliyor.</t>
        </is>
      </c>
      <c r="F13" s="47">
        <f>IF(D13="","",IF(OR(ISNUMBER(SEARCH("PARÇA DEĞİŞ",D13)),ISNUMBER(SEARCH("PARCA DEGIS",D13)),ISNUMBER(SEARCH("DEĞİŞECEK",D13)),ISNUMBER(SEARCH("DEGISECEK",D13)),ISNUMBER(SEARCH("DEĞİŞİM",D13)),ISNUMBER(SEARCH("DEGISIM",D13))),"PARÇA DEĞİŞİMİ",""))</f>
        <v/>
      </c>
      <c r="G13" s="47">
        <f>IF(AND(D13&lt;&gt;"",E13&lt;&gt;"",D13&lt;&gt;E13),"GÜNCELLENDİ","")</f>
        <v/>
      </c>
      <c r="H13" s="48" t="inlineStr"/>
    </row>
    <row r="14">
      <c r="A14" s="47" t="inlineStr">
        <is>
          <t>34MZV780</t>
        </is>
      </c>
      <c r="B14" s="47" t="inlineStr">
        <is>
          <t>NL1CSU0P80G055854</t>
        </is>
      </c>
      <c r="C14" s="47" t="inlineStr">
        <is>
          <t>İnceleme Süreci</t>
        </is>
      </c>
      <c r="D14" s="47" t="inlineStr">
        <is>
          <t>AC şarj arızası var. Tespit bekliyor.</t>
        </is>
      </c>
      <c r="E14" s="47" t="inlineStr">
        <is>
          <t>AC şarj arızası var. Tespit bekliyor.</t>
        </is>
      </c>
      <c r="F14" s="47">
        <f>IF(D14="","",IF(OR(ISNUMBER(SEARCH("PARÇA DEĞİŞ",D14)),ISNUMBER(SEARCH("PARCA DEGIS",D14)),ISNUMBER(SEARCH("DEĞİŞECEK",D14)),ISNUMBER(SEARCH("DEGISECEK",D14)),ISNUMBER(SEARCH("DEĞİŞİM",D14)),ISNUMBER(SEARCH("DEGISIM",D14))),"PARÇA DEĞİŞİMİ",""))</f>
        <v/>
      </c>
      <c r="G14" s="47">
        <f>IF(AND(D14&lt;&gt;"",E14&lt;&gt;"",D14&lt;&gt;E14),"GÜNCELLENDİ","")</f>
        <v/>
      </c>
      <c r="H14" s="48" t="inlineStr"/>
    </row>
    <row r="15">
      <c r="A15" s="47" t="inlineStr">
        <is>
          <t>01ASY101</t>
        </is>
      </c>
      <c r="B15" s="47" t="inlineStr">
        <is>
          <t>NL1CSU0P10G049605</t>
        </is>
      </c>
      <c r="C15" s="47" t="inlineStr">
        <is>
          <t>İnceleme Süreci</t>
        </is>
      </c>
      <c r="D15" s="47" t="inlineStr">
        <is>
          <t>AC şarj arızası var. Talep için veri toplanıyor.</t>
        </is>
      </c>
      <c r="E15" s="47" t="inlineStr">
        <is>
          <t>AC şarj arızası var. Talep için veri toplanıyor.</t>
        </is>
      </c>
      <c r="F15" s="47">
        <f>IF(D15="","",IF(OR(ISNUMBER(SEARCH("PARÇA DEĞİŞ",D15)),ISNUMBER(SEARCH("PARCA DEGIS",D15)),ISNUMBER(SEARCH("DEĞİŞECEK",D15)),ISNUMBER(SEARCH("DEGISECEK",D15)),ISNUMBER(SEARCH("DEĞİŞİM",D15)),ISNUMBER(SEARCH("DEGISIM",D15))),"PARÇA DEĞİŞİMİ",""))</f>
        <v/>
      </c>
      <c r="G15" s="47">
        <f>IF(AND(D15&lt;&gt;"",E15&lt;&gt;"",D15&lt;&gt;E15),"GÜNCELLENDİ","")</f>
        <v/>
      </c>
      <c r="H15" s="48" t="inlineStr"/>
    </row>
    <row r="16">
      <c r="A16" s="47" t="inlineStr">
        <is>
          <t>34NKA349</t>
        </is>
      </c>
      <c r="B16" s="47" t="inlineStr">
        <is>
          <t>NL1CSU0B90G067001</t>
        </is>
      </c>
      <c r="C16" s="47" t="inlineStr">
        <is>
          <t>İnceleme Süreci</t>
        </is>
      </c>
      <c r="D16" s="47" t="inlineStr">
        <is>
          <t>AC şarj arızası var. Tespit bekliyor.</t>
        </is>
      </c>
      <c r="E16" s="47" t="inlineStr">
        <is>
          <t>AC şarj arızası var. Tespit bekliyor.</t>
        </is>
      </c>
      <c r="F16" s="47">
        <f>IF(D16="","",IF(OR(ISNUMBER(SEARCH("PARÇA DEĞİŞ",D16)),ISNUMBER(SEARCH("PARCA DEGIS",D16)),ISNUMBER(SEARCH("DEĞİŞECEK",D16)),ISNUMBER(SEARCH("DEGISECEK",D16)),ISNUMBER(SEARCH("DEĞİŞİM",D16)),ISNUMBER(SEARCH("DEGISIM",D16))),"PARÇA DEĞİŞİMİ",""))</f>
        <v/>
      </c>
      <c r="G16" s="47">
        <f>IF(AND(D16&lt;&gt;"",E16&lt;&gt;"",D16&lt;&gt;E16),"GÜNCELLENDİ","")</f>
        <v/>
      </c>
      <c r="H16" s="48" t="inlineStr"/>
    </row>
    <row r="17">
      <c r="A17" s="47" t="inlineStr">
        <is>
          <t>34MSU026</t>
        </is>
      </c>
      <c r="B17" s="47" t="inlineStr">
        <is>
          <t>NL1CSU0P60G051334</t>
        </is>
      </c>
      <c r="C17" s="47" t="inlineStr">
        <is>
          <t>İnceleme Süreci</t>
        </is>
      </c>
      <c r="D17" s="47" t="inlineStr">
        <is>
          <t>şarj almama şikayeti mevcut. Tespit bekliyor.</t>
        </is>
      </c>
      <c r="E17" s="47" t="inlineStr">
        <is>
          <t>şarj almama şikayeti mevcut. Tespit bekliyor.</t>
        </is>
      </c>
      <c r="F17" s="47">
        <f>IF(D17="","",IF(OR(ISNUMBER(SEARCH("PARÇA DEĞİŞ",D17)),ISNUMBER(SEARCH("PARCA DEGIS",D17)),ISNUMBER(SEARCH("DEĞİŞECEK",D17)),ISNUMBER(SEARCH("DEGISECEK",D17)),ISNUMBER(SEARCH("DEĞİŞİM",D17)),ISNUMBER(SEARCH("DEGISIM",D17))),"PARÇA DEĞİŞİMİ",""))</f>
        <v/>
      </c>
      <c r="G17" s="47">
        <f>IF(AND(D17&lt;&gt;"",E17&lt;&gt;"",D17&lt;&gt;E17),"GÜNCELLENDİ","")</f>
        <v/>
      </c>
      <c r="H17" s="48" t="inlineStr"/>
    </row>
    <row r="18">
      <c r="A18" s="47" t="inlineStr">
        <is>
          <t>34RBR668</t>
        </is>
      </c>
      <c r="B18" s="47" t="inlineStr">
        <is>
          <t>NL1CFB0PX0G110071</t>
        </is>
      </c>
      <c r="C18" s="47" t="inlineStr">
        <is>
          <t>İnceleme Süreci</t>
        </is>
      </c>
      <c r="D18" s="47" t="inlineStr">
        <is>
          <t>EDU dan ses şikayeti mevcut. Tespit bekliyor.</t>
        </is>
      </c>
      <c r="E18" s="47" t="inlineStr">
        <is>
          <t>EDU dan ses şikayeti mevcut. Tespit bekliyor.</t>
        </is>
      </c>
      <c r="F18" s="47">
        <f>IF(D18="","",IF(OR(ISNUMBER(SEARCH("PARÇA DEĞİŞ",D18)),ISNUMBER(SEARCH("PARCA DEGIS",D18)),ISNUMBER(SEARCH("DEĞİŞECEK",D18)),ISNUMBER(SEARCH("DEGISECEK",D18)),ISNUMBER(SEARCH("DEĞİŞİM",D18)),ISNUMBER(SEARCH("DEGISIM",D18))),"PARÇA DEĞİŞİMİ",""))</f>
        <v/>
      </c>
      <c r="G18" s="47">
        <f>IF(AND(D18&lt;&gt;"",E18&lt;&gt;"",D18&lt;&gt;E18),"GÜNCELLENDİ","")</f>
        <v/>
      </c>
      <c r="H18" s="48" t="inlineStr"/>
    </row>
    <row r="19">
      <c r="A19" s="47" t="inlineStr">
        <is>
          <t>34HME015</t>
        </is>
      </c>
      <c r="B19" s="47" t="inlineStr">
        <is>
          <t>NL1CSU0PX0G007076</t>
        </is>
      </c>
      <c r="C19" s="47" t="inlineStr">
        <is>
          <t>İnceleme Süreci</t>
        </is>
      </c>
      <c r="D19" s="47" t="inlineStr">
        <is>
          <t>AC şarj arızası var. Tespit bekliyor.</t>
        </is>
      </c>
      <c r="E19" s="47" t="inlineStr">
        <is>
          <t>AC şarj arızası var. Tespit bekliyor.</t>
        </is>
      </c>
      <c r="F19" s="47">
        <f>IF(D19="","",IF(OR(ISNUMBER(SEARCH("PARÇA DEĞİŞ",D19)),ISNUMBER(SEARCH("PARCA DEGIS",D19)),ISNUMBER(SEARCH("DEĞİŞECEK",D19)),ISNUMBER(SEARCH("DEGISECEK",D19)),ISNUMBER(SEARCH("DEĞİŞİM",D19)),ISNUMBER(SEARCH("DEGISIM",D19))),"PARÇA DEĞİŞİMİ",""))</f>
        <v/>
      </c>
      <c r="G19" s="47">
        <f>IF(AND(D19&lt;&gt;"",E19&lt;&gt;"",D19&lt;&gt;E19),"GÜNCELLENDİ","")</f>
        <v/>
      </c>
      <c r="H19" s="48" t="inlineStr"/>
    </row>
    <row r="20">
      <c r="A20" s="47" t="inlineStr">
        <is>
          <t>55KR020</t>
        </is>
      </c>
      <c r="B20" s="47" t="inlineStr">
        <is>
          <t>NL1CSU0P40G001032</t>
        </is>
      </c>
      <c r="C20" s="47" t="inlineStr">
        <is>
          <t>İnceleme Süreci</t>
        </is>
      </c>
      <c r="D20" s="47" t="inlineStr">
        <is>
          <t>DC 80kw geçmiyor. Tespit bekliyor.</t>
        </is>
      </c>
      <c r="E20" s="47" t="inlineStr">
        <is>
          <t>DC 80kw geçmiyor. Tespit bekliyor.</t>
        </is>
      </c>
      <c r="F20" s="47">
        <f>IF(D20="","",IF(OR(ISNUMBER(SEARCH("PARÇA DEĞİŞ",D20)),ISNUMBER(SEARCH("PARCA DEGIS",D20)),ISNUMBER(SEARCH("DEĞİŞECEK",D20)),ISNUMBER(SEARCH("DEGISECEK",D20)),ISNUMBER(SEARCH("DEĞİŞİM",D20)),ISNUMBER(SEARCH("DEGISIM",D20))),"PARÇA DEĞİŞİMİ",""))</f>
        <v/>
      </c>
      <c r="G20" s="47">
        <f>IF(AND(D20&lt;&gt;"",E20&lt;&gt;"",D20&lt;&gt;E20),"GÜNCELLENDİ","")</f>
        <v/>
      </c>
      <c r="H20" s="48" t="inlineStr"/>
    </row>
    <row r="21">
      <c r="A21" s="47" t="inlineStr">
        <is>
          <t>34POH553</t>
        </is>
      </c>
      <c r="B21" s="47" t="inlineStr">
        <is>
          <t>NL1CSU0P70G097318</t>
        </is>
      </c>
      <c r="C21" s="47" t="inlineStr">
        <is>
          <t>İnceleme Süreci</t>
        </is>
      </c>
      <c r="D21" s="47" t="inlineStr">
        <is>
          <t>AC şarj arızası var. Tespit bekliyor.</t>
        </is>
      </c>
      <c r="E21" s="47" t="inlineStr">
        <is>
          <t>AC şarj arızası var. Tespit bekliyor.</t>
        </is>
      </c>
      <c r="F21" s="47">
        <f>IF(D21="","",IF(OR(ISNUMBER(SEARCH("PARÇA DEĞİŞ",D21)),ISNUMBER(SEARCH("PARCA DEGIS",D21)),ISNUMBER(SEARCH("DEĞİŞECEK",D21)),ISNUMBER(SEARCH("DEGISECEK",D21)),ISNUMBER(SEARCH("DEĞİŞİM",D21)),ISNUMBER(SEARCH("DEGISIM",D21))),"PARÇA DEĞİŞİMİ",""))</f>
        <v/>
      </c>
      <c r="G21" s="47">
        <f>IF(AND(D21&lt;&gt;"",E21&lt;&gt;"",D21&lt;&gt;E21),"GÜNCELLENDİ","")</f>
        <v/>
      </c>
      <c r="H21" s="48" t="inlineStr"/>
    </row>
    <row r="22">
      <c r="A22" s="47" t="inlineStr">
        <is>
          <t>59AOK410</t>
        </is>
      </c>
      <c r="B22" s="47" t="inlineStr">
        <is>
          <t>NL1CSU0P60G089257</t>
        </is>
      </c>
      <c r="C22" s="47" t="inlineStr">
        <is>
          <t>İnceleme Süreci</t>
        </is>
      </c>
      <c r="D22" s="47" t="inlineStr">
        <is>
          <t>AC - DC şarj arızası var. Tespit bekliyor.</t>
        </is>
      </c>
      <c r="E22" s="47" t="inlineStr">
        <is>
          <t>AC - DC şarj arızası var. Tespit bekliyor.</t>
        </is>
      </c>
      <c r="F22" s="47">
        <f>IF(D22="","",IF(OR(ISNUMBER(SEARCH("PARÇA DEĞİŞ",D22)),ISNUMBER(SEARCH("PARCA DEGIS",D22)),ISNUMBER(SEARCH("DEĞİŞECEK",D22)),ISNUMBER(SEARCH("DEGISECEK",D22)),ISNUMBER(SEARCH("DEĞİŞİM",D22)),ISNUMBER(SEARCH("DEGISIM",D22))),"PARÇA DEĞİŞİMİ",""))</f>
        <v/>
      </c>
      <c r="G22" s="47">
        <f>IF(AND(D22&lt;&gt;"",E22&lt;&gt;"",D22&lt;&gt;E22),"GÜNCELLENDİ","")</f>
        <v/>
      </c>
      <c r="H22" s="48" t="inlineStr"/>
    </row>
    <row r="23">
      <c r="A23" s="47" t="inlineStr">
        <is>
          <t>39AEK598</t>
        </is>
      </c>
      <c r="B23" s="47" t="inlineStr">
        <is>
          <t>NL1CSU0P40G070352</t>
        </is>
      </c>
      <c r="C23" s="47" t="inlineStr">
        <is>
          <t>İnceleme Süreci</t>
        </is>
      </c>
      <c r="D23" s="47" t="inlineStr">
        <is>
          <t>AC - DC şarj arızası var. Tespit bekliyor.</t>
        </is>
      </c>
      <c r="E23" s="47" t="inlineStr">
        <is>
          <t>AC - DC şarj arızası var. Tespit bekliyor.</t>
        </is>
      </c>
      <c r="F23" s="47">
        <f>IF(D23="","",IF(OR(ISNUMBER(SEARCH("PARÇA DEĞİŞ",D23)),ISNUMBER(SEARCH("PARCA DEGIS",D23)),ISNUMBER(SEARCH("DEĞİŞECEK",D23)),ISNUMBER(SEARCH("DEGISECEK",D23)),ISNUMBER(SEARCH("DEĞİŞİM",D23)),ISNUMBER(SEARCH("DEGISIM",D23))),"PARÇA DEĞİŞİMİ",""))</f>
        <v/>
      </c>
      <c r="G23" s="47">
        <f>IF(AND(D23&lt;&gt;"",E23&lt;&gt;"",D23&lt;&gt;E23),"GÜNCELLENDİ","")</f>
        <v/>
      </c>
      <c r="H23" s="48" t="inlineStr"/>
    </row>
    <row r="24">
      <c r="A24" s="47" t="inlineStr">
        <is>
          <t>34NOC747</t>
        </is>
      </c>
      <c r="B24" s="47" t="inlineStr">
        <is>
          <t>NL1CSU0B40G069996</t>
        </is>
      </c>
      <c r="C24" s="47" t="inlineStr">
        <is>
          <t>İnceleme Süreci</t>
        </is>
      </c>
      <c r="D24" s="47" t="inlineStr">
        <is>
          <t>AC şarj arızası var. Tespit bekliyor.</t>
        </is>
      </c>
      <c r="E24" s="47" t="inlineStr">
        <is>
          <t>AC şarj arızası var. Tespit bekliyor.</t>
        </is>
      </c>
      <c r="F24" s="47">
        <f>IF(D24="","",IF(OR(ISNUMBER(SEARCH("PARÇA DEĞİŞ",D24)),ISNUMBER(SEARCH("PARCA DEGIS",D24)),ISNUMBER(SEARCH("DEĞİŞECEK",D24)),ISNUMBER(SEARCH("DEGISECEK",D24)),ISNUMBER(SEARCH("DEĞİŞİM",D24)),ISNUMBER(SEARCH("DEGISIM",D24))),"PARÇA DEĞİŞİMİ",""))</f>
        <v/>
      </c>
      <c r="G24" s="47">
        <f>IF(AND(D24&lt;&gt;"",E24&lt;&gt;"",D24&lt;&gt;E24),"GÜNCELLENDİ","")</f>
        <v/>
      </c>
      <c r="H24" s="48" t="inlineStr"/>
    </row>
    <row r="25">
      <c r="A25" s="47" t="inlineStr">
        <is>
          <t>59AON649</t>
        </is>
      </c>
      <c r="B25" s="47" t="inlineStr">
        <is>
          <t>NL1CFB0BX0G091056</t>
        </is>
      </c>
      <c r="C25" s="47" t="inlineStr">
        <is>
          <t>İnceleme Süreci</t>
        </is>
      </c>
      <c r="D25" s="47" t="inlineStr">
        <is>
          <t>ESA arızası mevcut. Tespit bekliyor.</t>
        </is>
      </c>
      <c r="E25" s="47" t="inlineStr">
        <is>
          <t>ESA arızası mevcut. Tespit bekliyor.</t>
        </is>
      </c>
      <c r="F25" s="47">
        <f>IF(D25="","",IF(OR(ISNUMBER(SEARCH("PARÇA DEĞİŞ",D25)),ISNUMBER(SEARCH("PARCA DEGIS",D25)),ISNUMBER(SEARCH("DEĞİŞECEK",D25)),ISNUMBER(SEARCH("DEGISECEK",D25)),ISNUMBER(SEARCH("DEĞİŞİM",D25)),ISNUMBER(SEARCH("DEGISIM",D25))),"PARÇA DEĞİŞİMİ",""))</f>
        <v/>
      </c>
      <c r="G25" s="47">
        <f>IF(AND(D25&lt;&gt;"",E25&lt;&gt;"",D25&lt;&gt;E25),"GÜNCELLENDİ","")</f>
        <v/>
      </c>
      <c r="H25" s="48" t="inlineStr"/>
    </row>
    <row r="26">
      <c r="A26" s="47" t="inlineStr">
        <is>
          <t>34PHS441</t>
        </is>
      </c>
      <c r="B26" s="47" t="inlineStr">
        <is>
          <t>NL1CSU0P30G015004</t>
        </is>
      </c>
      <c r="C26" s="47" t="inlineStr">
        <is>
          <t>İnceleme Süreci</t>
        </is>
      </c>
      <c r="D26" s="47" t="inlineStr">
        <is>
          <t>AC şarj arızası var. Tespit bekliyor.</t>
        </is>
      </c>
      <c r="E26" s="47" t="inlineStr">
        <is>
          <t>AC şarj arızası var. Tespit bekliyor.</t>
        </is>
      </c>
      <c r="F26" s="47">
        <f>IF(D26="","",IF(OR(ISNUMBER(SEARCH("PARÇA DEĞİŞ",D26)),ISNUMBER(SEARCH("PARCA DEGIS",D26)),ISNUMBER(SEARCH("DEĞİŞECEK",D26)),ISNUMBER(SEARCH("DEGISECEK",D26)),ISNUMBER(SEARCH("DEĞİŞİM",D26)),ISNUMBER(SEARCH("DEGISIM",D26))),"PARÇA DEĞİŞİMİ",""))</f>
        <v/>
      </c>
      <c r="G26" s="47">
        <f>IF(AND(D26&lt;&gt;"",E26&lt;&gt;"",D26&lt;&gt;E26),"GÜNCELLENDİ","")</f>
        <v/>
      </c>
      <c r="H26" s="48" t="inlineStr"/>
    </row>
    <row r="27">
      <c r="A27" s="47" t="inlineStr">
        <is>
          <t>34ALB554</t>
        </is>
      </c>
      <c r="B27" s="47" t="inlineStr">
        <is>
          <t>NL1CSU0P80G054896</t>
        </is>
      </c>
      <c r="C27" s="47" t="inlineStr">
        <is>
          <t>İnceleme Süreci</t>
        </is>
      </c>
      <c r="D27" s="47" t="inlineStr">
        <is>
          <t>ESA arızası mevcut. Tespit bekliyor.</t>
        </is>
      </c>
      <c r="E27" s="47" t="inlineStr">
        <is>
          <t>ESA arızası mevcut. Tespit bekliyor.</t>
        </is>
      </c>
      <c r="F27" s="47">
        <f>IF(D27="","",IF(OR(ISNUMBER(SEARCH("PARÇA DEĞİŞ",D27)),ISNUMBER(SEARCH("PARCA DEGIS",D27)),ISNUMBER(SEARCH("DEĞİŞECEK",D27)),ISNUMBER(SEARCH("DEGISECEK",D27)),ISNUMBER(SEARCH("DEĞİŞİM",D27)),ISNUMBER(SEARCH("DEGISIM",D27))),"PARÇA DEĞİŞİMİ",""))</f>
        <v/>
      </c>
      <c r="G27" s="47">
        <f>IF(AND(D27&lt;&gt;"",E27&lt;&gt;"",D27&lt;&gt;E27),"GÜNCELLENDİ","")</f>
        <v/>
      </c>
      <c r="H27" s="48" t="inlineStr"/>
    </row>
    <row r="28">
      <c r="A28" s="47" t="inlineStr">
        <is>
          <t>39TOG015</t>
        </is>
      </c>
      <c r="B28" s="47" t="inlineStr">
        <is>
          <t>NL1CFB0PX0G084247</t>
        </is>
      </c>
      <c r="C28" s="47" t="inlineStr">
        <is>
          <t>İnceleme Süreci</t>
        </is>
      </c>
      <c r="D28" s="47" t="inlineStr">
        <is>
          <t>ESA arızası mevcut. Tespit bekliyor.</t>
        </is>
      </c>
      <c r="E28" s="47" t="inlineStr">
        <is>
          <t>ESA arızası mevcut. Tespit bekliyor.</t>
        </is>
      </c>
      <c r="F28" s="47">
        <f>IF(D28="","",IF(OR(ISNUMBER(SEARCH("PARÇA DEĞİŞ",D28)),ISNUMBER(SEARCH("PARCA DEGIS",D28)),ISNUMBER(SEARCH("DEĞİŞECEK",D28)),ISNUMBER(SEARCH("DEGISECEK",D28)),ISNUMBER(SEARCH("DEĞİŞİM",D28)),ISNUMBER(SEARCH("DEGISIM",D28))),"PARÇA DEĞİŞİMİ",""))</f>
        <v/>
      </c>
      <c r="G28" s="47">
        <f>IF(AND(D28&lt;&gt;"",E28&lt;&gt;"",D28&lt;&gt;E28),"GÜNCELLENDİ","")</f>
        <v/>
      </c>
      <c r="H28" s="48" t="inlineStr"/>
    </row>
    <row r="29">
      <c r="A29" s="47" t="inlineStr">
        <is>
          <t>34PSM487</t>
        </is>
      </c>
      <c r="B29" s="47" t="inlineStr">
        <is>
          <t>NL1CSU0P10G051192</t>
        </is>
      </c>
      <c r="C29" s="47" t="inlineStr">
        <is>
          <t>İnceleme Süreci</t>
        </is>
      </c>
      <c r="D29" s="47" t="inlineStr">
        <is>
          <t>ESA arızası mevcut. Tespit bekliyor.</t>
        </is>
      </c>
      <c r="E29" s="47" t="inlineStr">
        <is>
          <t>ESA arızası mevcut. Tespit bekliyor.</t>
        </is>
      </c>
      <c r="F29" s="47">
        <f>IF(D29="","",IF(OR(ISNUMBER(SEARCH("PARÇA DEĞİŞ",D29)),ISNUMBER(SEARCH("PARCA DEGIS",D29)),ISNUMBER(SEARCH("DEĞİŞECEK",D29)),ISNUMBER(SEARCH("DEGISECEK",D29)),ISNUMBER(SEARCH("DEĞİŞİM",D29)),ISNUMBER(SEARCH("DEGISIM",D29))),"PARÇA DEĞİŞİMİ",""))</f>
        <v/>
      </c>
      <c r="G29" s="47">
        <f>IF(AND(D29&lt;&gt;"",E29&lt;&gt;"",D29&lt;&gt;E29),"GÜNCELLENDİ","")</f>
        <v/>
      </c>
      <c r="H29" s="48" t="inlineStr"/>
    </row>
    <row r="30">
      <c r="A30" s="47" t="inlineStr">
        <is>
          <t>34KKG057</t>
        </is>
      </c>
      <c r="B30" s="47" t="inlineStr">
        <is>
          <t>NL1CSU0P60G027230</t>
        </is>
      </c>
      <c r="C30" s="47" t="inlineStr">
        <is>
          <t>İnceleme Süreci</t>
        </is>
      </c>
      <c r="D30" s="47" t="inlineStr">
        <is>
          <t>AC şarj olmuyor. Tespit bekliyor.</t>
        </is>
      </c>
      <c r="E30" s="47" t="inlineStr">
        <is>
          <t>AC şarj olmuyor. Tespit bekliyor.</t>
        </is>
      </c>
      <c r="F30" s="47">
        <f>IF(D30="","",IF(OR(ISNUMBER(SEARCH("PARÇA DEĞİŞ",D30)),ISNUMBER(SEARCH("PARCA DEGIS",D30)),ISNUMBER(SEARCH("DEĞİŞECEK",D30)),ISNUMBER(SEARCH("DEGISECEK",D30)),ISNUMBER(SEARCH("DEĞİŞİM",D30)),ISNUMBER(SEARCH("DEGISIM",D30))),"PARÇA DEĞİŞİMİ",""))</f>
        <v/>
      </c>
      <c r="G30" s="47">
        <f>IF(AND(D30&lt;&gt;"",E30&lt;&gt;"",D30&lt;&gt;E30),"GÜNCELLENDİ","")</f>
        <v/>
      </c>
      <c r="H30" s="48" t="inlineStr"/>
    </row>
    <row r="31">
      <c r="A31" s="47" t="inlineStr">
        <is>
          <t>34BLL660</t>
        </is>
      </c>
      <c r="B31" s="47" t="inlineStr">
        <is>
          <t>NL1CSU0P50G041085</t>
        </is>
      </c>
      <c r="C31" s="47" t="inlineStr">
        <is>
          <t>İnceleme Süreci</t>
        </is>
      </c>
      <c r="D31" s="47" t="inlineStr">
        <is>
          <t>AC şarj olmuyor. Tespit bekliyor.</t>
        </is>
      </c>
      <c r="E31" s="47" t="inlineStr">
        <is>
          <t>AC şarj olmuyor. Tespit bekliyor.</t>
        </is>
      </c>
      <c r="F31" s="47">
        <f>IF(D31="","",IF(OR(ISNUMBER(SEARCH("PARÇA DEĞİŞ",D31)),ISNUMBER(SEARCH("PARCA DEGIS",D31)),ISNUMBER(SEARCH("DEĞİŞECEK",D31)),ISNUMBER(SEARCH("DEGISECEK",D31)),ISNUMBER(SEARCH("DEĞİŞİM",D31)),ISNUMBER(SEARCH("DEGISIM",D31))),"PARÇA DEĞİŞİMİ",""))</f>
        <v/>
      </c>
      <c r="G31" s="47">
        <f>IF(AND(D31&lt;&gt;"",E31&lt;&gt;"",D31&lt;&gt;E31),"GÜNCELLENDİ","")</f>
        <v/>
      </c>
      <c r="H31" s="48" t="inlineStr"/>
    </row>
    <row r="32">
      <c r="A32" s="47" t="inlineStr">
        <is>
          <t>59AJN194</t>
        </is>
      </c>
      <c r="B32" s="47" t="inlineStr">
        <is>
          <t>NL1CSU0P70G032405</t>
        </is>
      </c>
      <c r="C32" s="47" t="inlineStr">
        <is>
          <t>Atölye İşlemde</t>
        </is>
      </c>
      <c r="D32" s="47" t="inlineStr">
        <is>
          <t>EDU değişti. İlke trafikten ruhsat işlemleri bekleniyor.</t>
        </is>
      </c>
      <c r="E32" s="47" t="inlineStr">
        <is>
          <t>EDU değişti. İlke trafikten ruhsat işlemleri bekleniyor.</t>
        </is>
      </c>
      <c r="F32" s="47">
        <f>IF(D32="","",IF(OR(ISNUMBER(SEARCH("PARÇA DEĞİŞ",D32)),ISNUMBER(SEARCH("PARCA DEGIS",D32)),ISNUMBER(SEARCH("DEĞİŞECEK",D32)),ISNUMBER(SEARCH("DEGISECEK",D32)),ISNUMBER(SEARCH("DEĞİŞİM",D32)),ISNUMBER(SEARCH("DEGISIM",D32))),"PARÇA DEĞİŞİMİ",""))</f>
        <v/>
      </c>
      <c r="G32" s="47">
        <f>IF(AND(D32&lt;&gt;"",E32&lt;&gt;"",D32&lt;&gt;E32),"GÜNCELLENDİ","")</f>
        <v/>
      </c>
      <c r="H32" s="48" t="inlineStr"/>
    </row>
    <row r="33">
      <c r="A33" s="47" t="inlineStr">
        <is>
          <t>34MJM353</t>
        </is>
      </c>
      <c r="B33" s="47" t="inlineStr">
        <is>
          <t>NL1CSU0P60G044240</t>
        </is>
      </c>
      <c r="C33" s="47" t="inlineStr">
        <is>
          <t>Atölye İşlemde</t>
        </is>
      </c>
      <c r="D33" s="47" t="inlineStr">
        <is>
          <t>Kokpit tesisatı MEVCUT</t>
        </is>
      </c>
      <c r="E33" s="47" t="inlineStr">
        <is>
          <t>Kokpit tesisatı MEVCUT</t>
        </is>
      </c>
      <c r="F33" s="47">
        <f>IF(D33="","",IF(OR(ISNUMBER(SEARCH("PARÇA DEĞİŞ",D33)),ISNUMBER(SEARCH("PARCA DEGIS",D33)),ISNUMBER(SEARCH("DEĞİŞECEK",D33)),ISNUMBER(SEARCH("DEGISECEK",D33)),ISNUMBER(SEARCH("DEĞİŞİM",D33)),ISNUMBER(SEARCH("DEGISIM",D33))),"PARÇA DEĞİŞİMİ",""))</f>
        <v/>
      </c>
      <c r="G33" s="47">
        <f>IF(AND(D33&lt;&gt;"",E33&lt;&gt;"",D33&lt;&gt;E33),"GÜNCELLENDİ","")</f>
        <v/>
      </c>
      <c r="H33" s="48" t="inlineStr"/>
    </row>
    <row r="34">
      <c r="A34" s="47" t="inlineStr">
        <is>
          <t>59AOU430</t>
        </is>
      </c>
      <c r="B34" s="47" t="inlineStr">
        <is>
          <t>NL1CSU0B10G094497</t>
        </is>
      </c>
      <c r="C34" s="47" t="inlineStr">
        <is>
          <t>Atölye İşlemde</t>
        </is>
      </c>
      <c r="D34" s="47" t="inlineStr">
        <is>
          <t>İnlet denendi. Şarj oluyor ama arıza basmaya devam ediyor. İnceleniyor.</t>
        </is>
      </c>
      <c r="E34" s="47" t="inlineStr">
        <is>
          <t>İnlet denendi. Şarj oluyor ama arıza basmaya devam ediyor. İnceleniyor.</t>
        </is>
      </c>
      <c r="F34" s="47">
        <f>IF(D34="","",IF(OR(ISNUMBER(SEARCH("PARÇA DEĞİŞ",D34)),ISNUMBER(SEARCH("PARCA DEGIS",D34)),ISNUMBER(SEARCH("DEĞİŞECEK",D34)),ISNUMBER(SEARCH("DEGISECEK",D34)),ISNUMBER(SEARCH("DEĞİŞİM",D34)),ISNUMBER(SEARCH("DEGISIM",D34))),"PARÇA DEĞİŞİMİ",""))</f>
        <v/>
      </c>
      <c r="G34" s="47">
        <f>IF(AND(D34&lt;&gt;"",E34&lt;&gt;"",D34&lt;&gt;E34),"GÜNCELLENDİ","")</f>
        <v/>
      </c>
      <c r="H34" s="48" t="inlineStr"/>
    </row>
    <row r="35">
      <c r="A35" s="47" t="inlineStr">
        <is>
          <t>34HTT254</t>
        </is>
      </c>
      <c r="B35" s="47" t="inlineStr">
        <is>
          <t>NL1CSU0P80G019680</t>
        </is>
      </c>
      <c r="C35" s="47" t="inlineStr">
        <is>
          <t>Atölye İşlemde</t>
        </is>
      </c>
      <c r="D35" s="47" t="inlineStr">
        <is>
          <t>Body tesisatı + arka tampon tesisatı değişiyor. Cihaz atölyede işlemleri devam ediyor.</t>
        </is>
      </c>
      <c r="E35" s="47" t="inlineStr">
        <is>
          <t>Body tesisatı + arka tampon tesisatı değişiyor. Cihaz atölyede işlemleri devam ediyor.</t>
        </is>
      </c>
      <c r="F35" s="47">
        <f>IF(D35="","",IF(OR(ISNUMBER(SEARCH("PARÇA DEĞİŞ",D35)),ISNUMBER(SEARCH("PARCA DEGIS",D35)),ISNUMBER(SEARCH("DEĞİŞECEK",D35)),ISNUMBER(SEARCH("DEGISECEK",D35)),ISNUMBER(SEARCH("DEĞİŞİM",D35)),ISNUMBER(SEARCH("DEGISIM",D35))),"PARÇA DEĞİŞİMİ",""))</f>
        <v/>
      </c>
      <c r="G35" s="47">
        <f>IF(AND(D35&lt;&gt;"",E35&lt;&gt;"",D35&lt;&gt;E35),"GÜNCELLENDİ","")</f>
        <v/>
      </c>
      <c r="H35" s="48" t="inlineStr"/>
    </row>
    <row r="36">
      <c r="A36" s="47" t="inlineStr">
        <is>
          <t>34PHJ823</t>
        </is>
      </c>
      <c r="B36" s="47" t="inlineStr">
        <is>
          <t>NL1CSU0P20G088901</t>
        </is>
      </c>
      <c r="C36" s="47" t="inlineStr">
        <is>
          <t>Atölye İşlemde</t>
        </is>
      </c>
      <c r="D36" s="47" t="inlineStr">
        <is>
          <t xml:space="preserve">Motor tesisatı değişti. Test ediliyor. </t>
        </is>
      </c>
      <c r="E36" s="47" t="inlineStr">
        <is>
          <t xml:space="preserve">Motor tesisatı değişti. Test ediliyor. </t>
        </is>
      </c>
      <c r="F36" s="47">
        <f>IF(D36="","",IF(OR(ISNUMBER(SEARCH("PARÇA DEĞİŞ",D36)),ISNUMBER(SEARCH("PARCA DEGIS",D36)),ISNUMBER(SEARCH("DEĞİŞECEK",D36)),ISNUMBER(SEARCH("DEGISECEK",D36)),ISNUMBER(SEARCH("DEĞİŞİM",D36)),ISNUMBER(SEARCH("DEGISIM",D36))),"PARÇA DEĞİŞİMİ",""))</f>
        <v/>
      </c>
      <c r="G36" s="47">
        <f>IF(AND(D36&lt;&gt;"",E36&lt;&gt;"",D36&lt;&gt;E36),"GÜNCELLENDİ","")</f>
        <v/>
      </c>
      <c r="H36" s="48" t="inlineStr"/>
    </row>
    <row r="37">
      <c r="A37" s="47" t="inlineStr">
        <is>
          <t>59AK002</t>
        </is>
      </c>
      <c r="B37" s="47" t="inlineStr">
        <is>
          <t>NL1CSU0P50G002559</t>
        </is>
      </c>
      <c r="C37" s="47" t="inlineStr">
        <is>
          <t>Atölye İşlemde</t>
        </is>
      </c>
      <c r="D37" s="47" t="inlineStr">
        <is>
          <t>İncelemeleri devam ediyor.</t>
        </is>
      </c>
      <c r="E37" s="47" t="inlineStr">
        <is>
          <t>İncelemeleri devam ediyor.</t>
        </is>
      </c>
      <c r="F37" s="47">
        <f>IF(D37="","",IF(OR(ISNUMBER(SEARCH("PARÇA DEĞİŞ",D37)),ISNUMBER(SEARCH("PARCA DEGIS",D37)),ISNUMBER(SEARCH("DEĞİŞECEK",D37)),ISNUMBER(SEARCH("DEGISECEK",D37)),ISNUMBER(SEARCH("DEĞİŞİM",D37)),ISNUMBER(SEARCH("DEGISIM",D37))),"PARÇA DEĞİŞİMİ",""))</f>
        <v/>
      </c>
      <c r="G37" s="47">
        <f>IF(AND(D37&lt;&gt;"",E37&lt;&gt;"",D37&lt;&gt;E37),"GÜNCELLENDİ","")</f>
        <v/>
      </c>
      <c r="H37" s="48" t="inlineStr"/>
    </row>
    <row r="38">
      <c r="A38" s="47" t="inlineStr">
        <is>
          <t>34REP864</t>
        </is>
      </c>
      <c r="B38" s="47" t="inlineStr">
        <is>
          <t>NL1CFB0P40G112916</t>
        </is>
      </c>
      <c r="C38" s="47" t="inlineStr">
        <is>
          <t>Atölye İşlemde</t>
        </is>
      </c>
      <c r="D38" s="47" t="inlineStr">
        <is>
          <t>Peu ve batarya değişti. Halen izolasyon hatası var. İnceleniyor.</t>
        </is>
      </c>
      <c r="E38" s="47" t="inlineStr">
        <is>
          <t>Peu ve batarya değişti. Halen izolasyon hatası var. İnceleniyor.</t>
        </is>
      </c>
      <c r="F38" s="47">
        <f>IF(D38="","",IF(OR(ISNUMBER(SEARCH("PARÇA DEĞİŞ",D38)),ISNUMBER(SEARCH("PARCA DEGIS",D38)),ISNUMBER(SEARCH("DEĞİŞECEK",D38)),ISNUMBER(SEARCH("DEGISECEK",D38)),ISNUMBER(SEARCH("DEĞİŞİM",D38)),ISNUMBER(SEARCH("DEGISIM",D38))),"PARÇA DEĞİŞİMİ",""))</f>
        <v/>
      </c>
      <c r="G38" s="47">
        <f>IF(AND(D38&lt;&gt;"",E38&lt;&gt;"",D38&lt;&gt;E38),"GÜNCELLENDİ","")</f>
        <v/>
      </c>
      <c r="H38" s="48" t="inlineStr"/>
    </row>
    <row r="39">
      <c r="A39" s="47" t="inlineStr">
        <is>
          <t>59TR121</t>
        </is>
      </c>
      <c r="B39" s="47" t="inlineStr">
        <is>
          <t>NL1CSU0P40G030725</t>
        </is>
      </c>
      <c r="C39" s="47" t="inlineStr">
        <is>
          <t>Atölye İşlemde</t>
        </is>
      </c>
      <c r="D39" s="47" t="inlineStr">
        <is>
          <t>AC şarj problemleri var. Şasi noktaları temizlendi. İnceleme devam ediyor.</t>
        </is>
      </c>
      <c r="E39" s="47" t="inlineStr">
        <is>
          <t>AC şarj problemleri var. Şasi noktaları temizlendi. İnceleme devam ediyor.</t>
        </is>
      </c>
      <c r="F39" s="47">
        <f>IF(D39="","",IF(OR(ISNUMBER(SEARCH("PARÇA DEĞİŞ",D39)),ISNUMBER(SEARCH("PARCA DEGIS",D39)),ISNUMBER(SEARCH("DEĞİŞECEK",D39)),ISNUMBER(SEARCH("DEGISECEK",D39)),ISNUMBER(SEARCH("DEĞİŞİM",D39)),ISNUMBER(SEARCH("DEGISIM",D39))),"PARÇA DEĞİŞİMİ",""))</f>
        <v/>
      </c>
      <c r="G39" s="47">
        <f>IF(AND(D39&lt;&gt;"",E39&lt;&gt;"",D39&lt;&gt;E39),"GÜNCELLENDİ","")</f>
        <v/>
      </c>
      <c r="H39" s="48" t="inlineStr"/>
    </row>
    <row r="40">
      <c r="A40" s="47" t="inlineStr">
        <is>
          <t>59APN173</t>
        </is>
      </c>
      <c r="B40" s="47" t="inlineStr">
        <is>
          <t>NL1CSU0P10G009976</t>
        </is>
      </c>
      <c r="C40" s="47" t="inlineStr">
        <is>
          <t>Atölye İşlemde</t>
        </is>
      </c>
      <c r="D40" s="47" t="inlineStr">
        <is>
          <t>Batarya değişti.şasi noktaları temizlenip şarj denemesi yapılacak.</t>
        </is>
      </c>
      <c r="E40" s="47" t="inlineStr">
        <is>
          <t>Batarya değişti.şasi noktaları temizlenip şarj denemesi yapılacak.</t>
        </is>
      </c>
      <c r="F40" s="47">
        <f>IF(D40="","",IF(OR(ISNUMBER(SEARCH("PARÇA DEĞİŞ",D40)),ISNUMBER(SEARCH("PARCA DEGIS",D40)),ISNUMBER(SEARCH("DEĞİŞECEK",D40)),ISNUMBER(SEARCH("DEGISECEK",D40)),ISNUMBER(SEARCH("DEĞİŞİM",D40)),ISNUMBER(SEARCH("DEGISIM",D40))),"PARÇA DEĞİŞİMİ",""))</f>
        <v/>
      </c>
      <c r="G40" s="47">
        <f>IF(AND(D40&lt;&gt;"",E40&lt;&gt;"",D40&lt;&gt;E40),"GÜNCELLENDİ","")</f>
        <v/>
      </c>
      <c r="H40" s="48" t="inlineStr"/>
    </row>
    <row r="41">
      <c r="A41" s="47" t="inlineStr">
        <is>
          <t>59APC720</t>
        </is>
      </c>
      <c r="B41" s="47" t="inlineStr">
        <is>
          <t>NL1CFB0P90G090945</t>
        </is>
      </c>
      <c r="C41" s="47" t="inlineStr">
        <is>
          <t>Atölye İşlemde</t>
        </is>
      </c>
      <c r="D41" s="47" t="inlineStr">
        <is>
          <t xml:space="preserve">BDCC yazılımı atıldı - IDCC değişimi yapıldı OTA atılacak </t>
        </is>
      </c>
      <c r="E41" s="47" t="inlineStr">
        <is>
          <t xml:space="preserve">BDCC yazılımı atıldı - IDCC değişimi yapıldı OTA atılacak </t>
        </is>
      </c>
      <c r="F41" s="47">
        <f>IF(D41="","",IF(OR(ISNUMBER(SEARCH("PARÇA DEĞİŞ",D41)),ISNUMBER(SEARCH("PARCA DEGIS",D41)),ISNUMBER(SEARCH("DEĞİŞECEK",D41)),ISNUMBER(SEARCH("DEGISECEK",D41)),ISNUMBER(SEARCH("DEĞİŞİM",D41)),ISNUMBER(SEARCH("DEGISIM",D41))),"PARÇA DEĞİŞİMİ",""))</f>
        <v/>
      </c>
      <c r="G41" s="47">
        <f>IF(AND(D41&lt;&gt;"",E41&lt;&gt;"",D41&lt;&gt;E41),"GÜNCELLENDİ","")</f>
        <v/>
      </c>
      <c r="H41" s="48" t="inlineStr"/>
    </row>
    <row r="42">
      <c r="A42" s="47" t="inlineStr">
        <is>
          <t>35DR672</t>
        </is>
      </c>
      <c r="B42" s="47" t="inlineStr">
        <is>
          <t>NL1CSU0P40G005615</t>
        </is>
      </c>
      <c r="C42" s="47" t="inlineStr">
        <is>
          <t>Atölye İşlemde</t>
        </is>
      </c>
      <c r="D42" s="47" t="inlineStr">
        <is>
          <t>Şasi noktası temizliği ve jumper kablo uygulanacak.</t>
        </is>
      </c>
      <c r="E42" s="47" t="inlineStr">
        <is>
          <t>Şasi noktası temizliği ve jumper kablo uygulanacak.</t>
        </is>
      </c>
      <c r="F42" s="47">
        <f>IF(D42="","",IF(OR(ISNUMBER(SEARCH("PARÇA DEĞİŞ",D42)),ISNUMBER(SEARCH("PARCA DEGIS",D42)),ISNUMBER(SEARCH("DEĞİŞECEK",D42)),ISNUMBER(SEARCH("DEGISECEK",D42)),ISNUMBER(SEARCH("DEĞİŞİM",D42)),ISNUMBER(SEARCH("DEGISIM",D42))),"PARÇA DEĞİŞİMİ",""))</f>
        <v/>
      </c>
      <c r="G42" s="47">
        <f>IF(AND(D42&lt;&gt;"",E42&lt;&gt;"",D42&lt;&gt;E42),"GÜNCELLENDİ","")</f>
        <v/>
      </c>
      <c r="H42" s="48" t="inlineStr"/>
    </row>
    <row r="43">
      <c r="A43" s="47" t="inlineStr">
        <is>
          <t>34RBL092</t>
        </is>
      </c>
      <c r="B43" s="47" t="inlineStr">
        <is>
          <t>NL1CSU0P30G110324</t>
        </is>
      </c>
      <c r="C43" s="47" t="inlineStr">
        <is>
          <t>Atölye İşlemde</t>
        </is>
      </c>
      <c r="D43" s="47" t="inlineStr">
        <is>
          <t xml:space="preserve">İşlemleri devam ediyor. (KAPORTA) </t>
        </is>
      </c>
      <c r="E43" s="47" t="inlineStr">
        <is>
          <t xml:space="preserve">İşlemleri devam ediyor. (KAPORTA) </t>
        </is>
      </c>
      <c r="F43" s="47">
        <f>IF(D43="","",IF(OR(ISNUMBER(SEARCH("PARÇA DEĞİŞ",D43)),ISNUMBER(SEARCH("PARCA DEGIS",D43)),ISNUMBER(SEARCH("DEĞİŞECEK",D43)),ISNUMBER(SEARCH("DEGISECEK",D43)),ISNUMBER(SEARCH("DEĞİŞİM",D43)),ISNUMBER(SEARCH("DEGISIM",D43))),"PARÇA DEĞİŞİMİ",""))</f>
        <v/>
      </c>
      <c r="G43" s="47">
        <f>IF(AND(D43&lt;&gt;"",E43&lt;&gt;"",D43&lt;&gt;E43),"GÜNCELLENDİ","")</f>
        <v/>
      </c>
      <c r="H43" s="48" t="inlineStr"/>
    </row>
    <row r="44">
      <c r="A44" s="47" t="inlineStr">
        <is>
          <t>39LP139</t>
        </is>
      </c>
      <c r="B44" s="47" t="inlineStr">
        <is>
          <t>NL1CSU0P20G071158</t>
        </is>
      </c>
      <c r="C44" s="47" t="inlineStr">
        <is>
          <t>Atölye İşlemde</t>
        </is>
      </c>
      <c r="D44" s="47" t="inlineStr">
        <is>
          <t>Atölyede işlemleri devam ediyor.</t>
        </is>
      </c>
      <c r="E44" s="47" t="inlineStr">
        <is>
          <t>Atölyede işlemleri devam ediyor.</t>
        </is>
      </c>
      <c r="F44" s="47">
        <f>IF(D44="","",IF(OR(ISNUMBER(SEARCH("PARÇA DEĞİŞ",D44)),ISNUMBER(SEARCH("PARCA DEGIS",D44)),ISNUMBER(SEARCH("DEĞİŞECEK",D44)),ISNUMBER(SEARCH("DEGISECEK",D44)),ISNUMBER(SEARCH("DEĞİŞİM",D44)),ISNUMBER(SEARCH("DEGISIM",D44))),"PARÇA DEĞİŞİMİ",""))</f>
        <v/>
      </c>
      <c r="G44" s="47">
        <f>IF(AND(D44&lt;&gt;"",E44&lt;&gt;"",D44&lt;&gt;E44),"GÜNCELLENDİ","")</f>
        <v/>
      </c>
      <c r="H44" s="48" t="inlineStr"/>
    </row>
    <row r="45">
      <c r="A45" s="47" t="inlineStr">
        <is>
          <t>59AIT468</t>
        </is>
      </c>
      <c r="B45" s="47" t="inlineStr">
        <is>
          <t>NL1CSU0P60G024053</t>
        </is>
      </c>
      <c r="C45" s="47" t="inlineStr">
        <is>
          <t>Atölye İşlemde</t>
        </is>
      </c>
      <c r="D45" s="47" t="inlineStr">
        <is>
          <t>AC-DC şarj kesiyor. şasi noktası temizliği yapılıp denenecek.</t>
        </is>
      </c>
      <c r="E45" s="47" t="inlineStr">
        <is>
          <t>AC-DC şarj kesiyor. şasi noktası temizliği yapılıp denenecek.</t>
        </is>
      </c>
      <c r="F45" s="47">
        <f>IF(D45="","",IF(OR(ISNUMBER(SEARCH("PARÇA DEĞİŞ",D45)),ISNUMBER(SEARCH("PARCA DEGIS",D45)),ISNUMBER(SEARCH("DEĞİŞECEK",D45)),ISNUMBER(SEARCH("DEGISECEK",D45)),ISNUMBER(SEARCH("DEĞİŞİM",D45)),ISNUMBER(SEARCH("DEGISIM",D45))),"PARÇA DEĞİŞİMİ",""))</f>
        <v/>
      </c>
      <c r="G45" s="47">
        <f>IF(AND(D45&lt;&gt;"",E45&lt;&gt;"",D45&lt;&gt;E45),"GÜNCELLENDİ","")</f>
        <v/>
      </c>
      <c r="H45" s="48" t="inlineStr"/>
    </row>
    <row r="46">
      <c r="A46" s="47" t="inlineStr">
        <is>
          <t>34SY8389</t>
        </is>
      </c>
      <c r="B46" s="47" t="inlineStr">
        <is>
          <t>NL1CSU0P10G034389</t>
        </is>
      </c>
      <c r="C46" s="47" t="inlineStr">
        <is>
          <t>Atölye İşlemde</t>
        </is>
      </c>
      <c r="D46" s="47" t="inlineStr">
        <is>
          <t>adas problemi mevcut. tetikleme yapıldı. sorun devam ediyor.</t>
        </is>
      </c>
      <c r="E46" s="47" t="inlineStr">
        <is>
          <t>adas problemi mevcut. tetikleme yapıldı. sorun devam ediyor.</t>
        </is>
      </c>
      <c r="F46" s="47">
        <f>IF(D46="","",IF(OR(ISNUMBER(SEARCH("PARÇA DEĞİŞ",D46)),ISNUMBER(SEARCH("PARCA DEGIS",D46)),ISNUMBER(SEARCH("DEĞİŞECEK",D46)),ISNUMBER(SEARCH("DEGISECEK",D46)),ISNUMBER(SEARCH("DEĞİŞİM",D46)),ISNUMBER(SEARCH("DEGISIM",D46))),"PARÇA DEĞİŞİMİ",""))</f>
        <v/>
      </c>
      <c r="G46" s="47">
        <f>IF(AND(D46&lt;&gt;"",E46&lt;&gt;"",D46&lt;&gt;E46),"GÜNCELLENDİ","")</f>
        <v/>
      </c>
      <c r="H46" s="48" t="inlineStr"/>
    </row>
    <row r="47">
      <c r="A47" s="47" t="inlineStr">
        <is>
          <t>34LSU61</t>
        </is>
      </c>
      <c r="B47" s="47" t="inlineStr">
        <is>
          <t>NL1CSU0P10G002252</t>
        </is>
      </c>
      <c r="C47" s="47" t="inlineStr">
        <is>
          <t>Atölye İşlemde</t>
        </is>
      </c>
      <c r="D47" s="47" t="inlineStr">
        <is>
          <t>Şarj oluyor ama arıza basmaya devam ediyor. İnceleniyor.</t>
        </is>
      </c>
      <c r="E47" s="47" t="inlineStr">
        <is>
          <t>Şarj oluyor ama arıza basmaya devam ediyor. İnceleniyor.</t>
        </is>
      </c>
      <c r="F47" s="47">
        <f>IF(D47="","",IF(OR(ISNUMBER(SEARCH("PARÇA DEĞİŞ",D47)),ISNUMBER(SEARCH("PARCA DEGIS",D47)),ISNUMBER(SEARCH("DEĞİŞECEK",D47)),ISNUMBER(SEARCH("DEGISECEK",D47)),ISNUMBER(SEARCH("DEĞİŞİM",D47)),ISNUMBER(SEARCH("DEGISIM",D47))),"PARÇA DEĞİŞİMİ",""))</f>
        <v/>
      </c>
      <c r="G47" s="47">
        <f>IF(AND(D47&lt;&gt;"",E47&lt;&gt;"",D47&lt;&gt;E47),"GÜNCELLENDİ","")</f>
        <v/>
      </c>
      <c r="H47" s="48" t="inlineStr"/>
    </row>
    <row r="48">
      <c r="A48" s="47" t="inlineStr">
        <is>
          <t>59AJP412</t>
        </is>
      </c>
      <c r="B48" s="47" t="inlineStr">
        <is>
          <t>NL1CSU0P00G033475</t>
        </is>
      </c>
      <c r="C48" s="47" t="inlineStr">
        <is>
          <t>Atölye İşlemde</t>
        </is>
      </c>
      <c r="D48" s="47" t="inlineStr">
        <is>
          <t>Şarj denemeleri yapılıyor.</t>
        </is>
      </c>
      <c r="E48" s="47" t="inlineStr">
        <is>
          <t>Şarj denemeleri yapılıyor.</t>
        </is>
      </c>
      <c r="F48" s="47">
        <f>IF(D48="","",IF(OR(ISNUMBER(SEARCH("PARÇA DEĞİŞ",D48)),ISNUMBER(SEARCH("PARCA DEGIS",D48)),ISNUMBER(SEARCH("DEĞİŞECEK",D48)),ISNUMBER(SEARCH("DEGISECEK",D48)),ISNUMBER(SEARCH("DEĞİŞİM",D48)),ISNUMBER(SEARCH("DEGISIM",D48))),"PARÇA DEĞİŞİMİ",""))</f>
        <v/>
      </c>
      <c r="G48" s="47">
        <f>IF(AND(D48&lt;&gt;"",E48&lt;&gt;"",D48&lt;&gt;E48),"GÜNCELLENDİ","")</f>
        <v/>
      </c>
      <c r="H48" s="48" t="inlineStr"/>
    </row>
    <row r="49">
      <c r="A49" s="47" t="inlineStr">
        <is>
          <t>34MLT003</t>
        </is>
      </c>
      <c r="B49" s="47" t="inlineStr">
        <is>
          <t>NL1CSU0P70G044912</t>
        </is>
      </c>
      <c r="C49" s="47" t="inlineStr">
        <is>
          <t>Atölye İşlemde</t>
        </is>
      </c>
      <c r="D49" s="47" t="inlineStr">
        <is>
          <t>Gaz yemiyor şikayeti mevcut. İncelemeler devam ediyor.</t>
        </is>
      </c>
      <c r="E49" s="47" t="inlineStr">
        <is>
          <t>Gaz yemiyor şikayeti mevcut. İncelemeler devam ediyor.</t>
        </is>
      </c>
      <c r="F49" s="47">
        <f>IF(D49="","",IF(OR(ISNUMBER(SEARCH("PARÇA DEĞİŞ",D49)),ISNUMBER(SEARCH("PARCA DEGIS",D49)),ISNUMBER(SEARCH("DEĞİŞECEK",D49)),ISNUMBER(SEARCH("DEGISECEK",D49)),ISNUMBER(SEARCH("DEĞİŞİM",D49)),ISNUMBER(SEARCH("DEGISIM",D49))),"PARÇA DEĞİŞİMİ",""))</f>
        <v/>
      </c>
      <c r="G49" s="47">
        <f>IF(AND(D49&lt;&gt;"",E49&lt;&gt;"",D49&lt;&gt;E49),"GÜNCELLENDİ","")</f>
        <v/>
      </c>
      <c r="H49" s="48" t="inlineStr"/>
    </row>
    <row r="50">
      <c r="A50" s="47" t="inlineStr">
        <is>
          <t>34HTG135</t>
        </is>
      </c>
      <c r="B50" s="47" t="inlineStr">
        <is>
          <t>NL1CSU0B80G017240</t>
        </is>
      </c>
      <c r="C50" s="47" t="inlineStr">
        <is>
          <t>Atölye İşlemde</t>
        </is>
      </c>
      <c r="D50" s="47" t="inlineStr">
        <is>
          <t>DC 80kw geçmiyor. Bataryada arıza yok şarj denemesi yapılacak</t>
        </is>
      </c>
      <c r="E50" s="47" t="inlineStr">
        <is>
          <t>DC 80kw geçmiyor. Bataryada arıza yok şarj denemesi yapılacak</t>
        </is>
      </c>
      <c r="F50" s="47">
        <f>IF(D50="","",IF(OR(ISNUMBER(SEARCH("PARÇA DEĞİŞ",D50)),ISNUMBER(SEARCH("PARCA DEGIS",D50)),ISNUMBER(SEARCH("DEĞİŞECEK",D50)),ISNUMBER(SEARCH("DEGISECEK",D50)),ISNUMBER(SEARCH("DEĞİŞİM",D50)),ISNUMBER(SEARCH("DEGISIM",D50))),"PARÇA DEĞİŞİMİ",""))</f>
        <v/>
      </c>
      <c r="G50" s="47">
        <f>IF(AND(D50&lt;&gt;"",E50&lt;&gt;"",D50&lt;&gt;E50),"GÜNCELLENDİ","")</f>
        <v/>
      </c>
      <c r="H50" s="48" t="inlineStr"/>
    </row>
    <row r="51">
      <c r="A51" s="47" t="inlineStr">
        <is>
          <t>41E3300</t>
        </is>
      </c>
      <c r="B51" s="47" t="inlineStr">
        <is>
          <t>NL1CSU0P90G051151</t>
        </is>
      </c>
      <c r="C51" s="47" t="inlineStr">
        <is>
          <t>Atölye İşlemde</t>
        </is>
      </c>
      <c r="D51" s="47" t="inlineStr">
        <is>
          <t>Mekanik işlemleri mevcut. İşlemler devam ediyor.</t>
        </is>
      </c>
      <c r="E51" s="47" t="inlineStr">
        <is>
          <t>Mekanik işlemleri mevcut. İşlemler devam ediyor.</t>
        </is>
      </c>
      <c r="F51" s="47">
        <f>IF(D51="","",IF(OR(ISNUMBER(SEARCH("PARÇA DEĞİŞ",D51)),ISNUMBER(SEARCH("PARCA DEGIS",D51)),ISNUMBER(SEARCH("DEĞİŞECEK",D51)),ISNUMBER(SEARCH("DEGISECEK",D51)),ISNUMBER(SEARCH("DEĞİŞİM",D51)),ISNUMBER(SEARCH("DEGISIM",D51))),"PARÇA DEĞİŞİMİ",""))</f>
        <v/>
      </c>
      <c r="G51" s="47">
        <f>IF(AND(D51&lt;&gt;"",E51&lt;&gt;"",D51&lt;&gt;E51),"GÜNCELLENDİ","")</f>
        <v/>
      </c>
      <c r="H51" s="48" t="inlineStr"/>
    </row>
    <row r="52">
      <c r="A52" s="47" t="inlineStr">
        <is>
          <t>34KZU012</t>
        </is>
      </c>
      <c r="B52" s="47" t="inlineStr">
        <is>
          <t>NL1CSU0P40G036623</t>
        </is>
      </c>
      <c r="C52" s="47" t="inlineStr">
        <is>
          <t>Parça Bekliyor</t>
        </is>
      </c>
      <c r="D52" s="47" t="inlineStr">
        <is>
          <t>OBC değişecek.</t>
        </is>
      </c>
      <c r="E52" s="47" t="inlineStr">
        <is>
          <t>OBC değişecek.</t>
        </is>
      </c>
      <c r="F52" s="47">
        <f>IF(D52="","",IF(OR(ISNUMBER(SEARCH("PARÇA DEĞİŞ",D52)),ISNUMBER(SEARCH("PARCA DEGIS",D52)),ISNUMBER(SEARCH("DEĞİŞECEK",D52)),ISNUMBER(SEARCH("DEGISECEK",D52)),ISNUMBER(SEARCH("DEĞİŞİM",D52)),ISNUMBER(SEARCH("DEGISIM",D52))),"PARÇA DEĞİŞİMİ",""))</f>
        <v/>
      </c>
      <c r="G52" s="47">
        <f>IF(AND(D52&lt;&gt;"",E52&lt;&gt;"",D52&lt;&gt;E52),"GÜNCELLENDİ","")</f>
        <v/>
      </c>
      <c r="H52" s="48" t="inlineStr"/>
    </row>
    <row r="53">
      <c r="A53" s="47" t="inlineStr">
        <is>
          <t>59ANT581</t>
        </is>
      </c>
      <c r="B53" s="47" t="inlineStr">
        <is>
          <t>NL1CSU0P70G045624</t>
        </is>
      </c>
      <c r="C53" s="47" t="inlineStr">
        <is>
          <t>Parça Bekliyor</t>
        </is>
      </c>
      <c r="D53" s="47" t="inlineStr">
        <is>
          <t>OBC değişecek.</t>
        </is>
      </c>
      <c r="E53" s="47" t="inlineStr">
        <is>
          <t>OBC değişecek.</t>
        </is>
      </c>
      <c r="F53" s="47">
        <f>IF(D53="","",IF(OR(ISNUMBER(SEARCH("PARÇA DEĞİŞ",D53)),ISNUMBER(SEARCH("PARCA DEGIS",D53)),ISNUMBER(SEARCH("DEĞİŞECEK",D53)),ISNUMBER(SEARCH("DEGISECEK",D53)),ISNUMBER(SEARCH("DEĞİŞİM",D53)),ISNUMBER(SEARCH("DEGISIM",D53))),"PARÇA DEĞİŞİMİ",""))</f>
        <v/>
      </c>
      <c r="G53" s="47">
        <f>IF(AND(D53&lt;&gt;"",E53&lt;&gt;"",D53&lt;&gt;E53),"GÜNCELLENDİ","")</f>
        <v/>
      </c>
      <c r="H53" s="48" t="inlineStr"/>
    </row>
    <row r="54">
      <c r="A54" s="47" t="inlineStr">
        <is>
          <t>34PHR333</t>
        </is>
      </c>
      <c r="B54" s="47" t="inlineStr">
        <is>
          <t>NL1CSU0P90G089348</t>
        </is>
      </c>
      <c r="C54" s="47" t="inlineStr">
        <is>
          <t>Parça Bekliyor</t>
        </is>
      </c>
      <c r="D54" s="47" t="inlineStr">
        <is>
          <t>OBC değişecek.</t>
        </is>
      </c>
      <c r="E54" s="47" t="inlineStr">
        <is>
          <t>OBC değişecek.</t>
        </is>
      </c>
      <c r="F54" s="47">
        <f>IF(D54="","",IF(OR(ISNUMBER(SEARCH("PARÇA DEĞİŞ",D54)),ISNUMBER(SEARCH("PARCA DEGIS",D54)),ISNUMBER(SEARCH("DEĞİŞECEK",D54)),ISNUMBER(SEARCH("DEGISECEK",D54)),ISNUMBER(SEARCH("DEĞİŞİM",D54)),ISNUMBER(SEARCH("DEGISIM",D54))),"PARÇA DEĞİŞİMİ",""))</f>
        <v/>
      </c>
      <c r="G54" s="47">
        <f>IF(AND(D54&lt;&gt;"",E54&lt;&gt;"",D54&lt;&gt;E54),"GÜNCELLENDİ","")</f>
        <v/>
      </c>
      <c r="H54" s="48" t="inlineStr"/>
    </row>
    <row r="55">
      <c r="A55" s="47" t="inlineStr">
        <is>
          <t>78TOG003</t>
        </is>
      </c>
      <c r="B55" s="47" t="inlineStr">
        <is>
          <t>NL1CSU0P90G007957</t>
        </is>
      </c>
      <c r="C55" s="47" t="inlineStr">
        <is>
          <t>Parça Bekliyor</t>
        </is>
      </c>
      <c r="D55" s="47" t="inlineStr">
        <is>
          <t>OBC değişecek.</t>
        </is>
      </c>
      <c r="E55" s="47" t="inlineStr">
        <is>
          <t>OBC değişecek.</t>
        </is>
      </c>
      <c r="F55" s="47">
        <f>IF(D55="","",IF(OR(ISNUMBER(SEARCH("PARÇA DEĞİŞ",D55)),ISNUMBER(SEARCH("PARCA DEGIS",D55)),ISNUMBER(SEARCH("DEĞİŞECEK",D55)),ISNUMBER(SEARCH("DEGISECEK",D55)),ISNUMBER(SEARCH("DEĞİŞİM",D55)),ISNUMBER(SEARCH("DEGISIM",D55))),"PARÇA DEĞİŞİMİ",""))</f>
        <v/>
      </c>
      <c r="G55" s="47">
        <f>IF(AND(D55&lt;&gt;"",E55&lt;&gt;"",D55&lt;&gt;E55),"GÜNCELLENDİ","")</f>
        <v/>
      </c>
      <c r="H55" s="48" t="inlineStr"/>
    </row>
    <row r="56">
      <c r="A56" s="47" t="inlineStr">
        <is>
          <t>34ECM499</t>
        </is>
      </c>
      <c r="B56" s="47" t="inlineStr">
        <is>
          <t>NL1CSU0P80G034048</t>
        </is>
      </c>
      <c r="C56" s="47" t="inlineStr">
        <is>
          <t>Parça Bekliyor</t>
        </is>
      </c>
      <c r="D56" s="47" t="inlineStr">
        <is>
          <t>OBC değişecek.</t>
        </is>
      </c>
      <c r="E56" s="47" t="inlineStr">
        <is>
          <t>OBC değişecek.</t>
        </is>
      </c>
      <c r="F56" s="47">
        <f>IF(D56="","",IF(OR(ISNUMBER(SEARCH("PARÇA DEĞİŞ",D56)),ISNUMBER(SEARCH("PARCA DEGIS",D56)),ISNUMBER(SEARCH("DEĞİŞECEK",D56)),ISNUMBER(SEARCH("DEGISECEK",D56)),ISNUMBER(SEARCH("DEĞİŞİM",D56)),ISNUMBER(SEARCH("DEGISIM",D56))),"PARÇA DEĞİŞİMİ",""))</f>
        <v/>
      </c>
      <c r="G56" s="47">
        <f>IF(AND(D56&lt;&gt;"",E56&lt;&gt;"",D56&lt;&gt;E56),"GÜNCELLENDİ","")</f>
        <v/>
      </c>
      <c r="H56" s="48" t="inlineStr"/>
    </row>
    <row r="57">
      <c r="A57" s="47" t="inlineStr">
        <is>
          <t>39ADU882</t>
        </is>
      </c>
      <c r="B57" s="47" t="inlineStr">
        <is>
          <t>NL1CSU0P80G043753</t>
        </is>
      </c>
      <c r="C57" s="47" t="inlineStr">
        <is>
          <t>Parça Bekliyor</t>
        </is>
      </c>
      <c r="D57" s="47" t="inlineStr">
        <is>
          <t>OBC değişecek.</t>
        </is>
      </c>
      <c r="E57" s="47" t="inlineStr">
        <is>
          <t>OBC değişecek.</t>
        </is>
      </c>
      <c r="F57" s="47">
        <f>IF(D57="","",IF(OR(ISNUMBER(SEARCH("PARÇA DEĞİŞ",D57)),ISNUMBER(SEARCH("PARCA DEGIS",D57)),ISNUMBER(SEARCH("DEĞİŞECEK",D57)),ISNUMBER(SEARCH("DEGISECEK",D57)),ISNUMBER(SEARCH("DEĞİŞİM",D57)),ISNUMBER(SEARCH("DEGISIM",D57))),"PARÇA DEĞİŞİMİ",""))</f>
        <v/>
      </c>
      <c r="G57" s="47">
        <f>IF(AND(D57&lt;&gt;"",E57&lt;&gt;"",D57&lt;&gt;E57),"GÜNCELLENDİ","")</f>
        <v/>
      </c>
      <c r="H57" s="48" t="inlineStr"/>
    </row>
    <row r="58">
      <c r="A58" s="47" t="inlineStr">
        <is>
          <t>34PVS353</t>
        </is>
      </c>
      <c r="B58" s="47" t="inlineStr">
        <is>
          <t>NL1CSU0P40G104841</t>
        </is>
      </c>
      <c r="C58" s="47" t="inlineStr">
        <is>
          <t>Parça Bekliyor</t>
        </is>
      </c>
      <c r="D58" s="47" t="inlineStr">
        <is>
          <t>OBC değişecek.</t>
        </is>
      </c>
      <c r="E58" s="47" t="inlineStr">
        <is>
          <t>OBC değişecek.</t>
        </is>
      </c>
      <c r="F58" s="47">
        <f>IF(D58="","",IF(OR(ISNUMBER(SEARCH("PARÇA DEĞİŞ",D58)),ISNUMBER(SEARCH("PARCA DEGIS",D58)),ISNUMBER(SEARCH("DEĞİŞECEK",D58)),ISNUMBER(SEARCH("DEGISECEK",D58)),ISNUMBER(SEARCH("DEĞİŞİM",D58)),ISNUMBER(SEARCH("DEGISIM",D58))),"PARÇA DEĞİŞİMİ",""))</f>
        <v/>
      </c>
      <c r="G58" s="47">
        <f>IF(AND(D58&lt;&gt;"",E58&lt;&gt;"",D58&lt;&gt;E58),"GÜNCELLENDİ","")</f>
        <v/>
      </c>
      <c r="H58" s="48" t="inlineStr"/>
    </row>
    <row r="59">
      <c r="A59" s="47" t="inlineStr">
        <is>
          <t>59HB343</t>
        </is>
      </c>
      <c r="B59" s="47" t="inlineStr">
        <is>
          <t>NL1CSU0B50G071465</t>
        </is>
      </c>
      <c r="C59" s="47" t="inlineStr">
        <is>
          <t>Parça Bekliyor</t>
        </is>
      </c>
      <c r="D59" s="47" t="inlineStr">
        <is>
          <t>OBC değişecek.</t>
        </is>
      </c>
      <c r="E59" s="47" t="inlineStr">
        <is>
          <t>OBC değişecek.</t>
        </is>
      </c>
      <c r="F59" s="47">
        <f>IF(D59="","",IF(OR(ISNUMBER(SEARCH("PARÇA DEĞİŞ",D59)),ISNUMBER(SEARCH("PARCA DEGIS",D59)),ISNUMBER(SEARCH("DEĞİŞECEK",D59)),ISNUMBER(SEARCH("DEGISECEK",D59)),ISNUMBER(SEARCH("DEĞİŞİM",D59)),ISNUMBER(SEARCH("DEGISIM",D59))),"PARÇA DEĞİŞİMİ",""))</f>
        <v/>
      </c>
      <c r="G59" s="47">
        <f>IF(AND(D59&lt;&gt;"",E59&lt;&gt;"",D59&lt;&gt;E59),"GÜNCELLENDİ","")</f>
        <v/>
      </c>
      <c r="H59" s="48" t="inlineStr"/>
    </row>
    <row r="60">
      <c r="A60" s="47" t="inlineStr">
        <is>
          <t>34ES6063</t>
        </is>
      </c>
      <c r="B60" s="47" t="inlineStr">
        <is>
          <t>NL1CSU0P80G012437</t>
        </is>
      </c>
      <c r="C60" s="47" t="inlineStr">
        <is>
          <t>Parça Bekliyor</t>
        </is>
      </c>
      <c r="D60" s="47" t="inlineStr">
        <is>
          <t>OBC değişti, Batarya değişecek.</t>
        </is>
      </c>
      <c r="E60" s="47" t="inlineStr">
        <is>
          <t>OBC değişti, Batarya değişecek.</t>
        </is>
      </c>
      <c r="F60" s="47">
        <f>IF(D60="","",IF(OR(ISNUMBER(SEARCH("PARÇA DEĞİŞ",D60)),ISNUMBER(SEARCH("PARCA DEGIS",D60)),ISNUMBER(SEARCH("DEĞİŞECEK",D60)),ISNUMBER(SEARCH("DEGISECEK",D60)),ISNUMBER(SEARCH("DEĞİŞİM",D60)),ISNUMBER(SEARCH("DEGISIM",D60))),"PARÇA DEĞİŞİMİ",""))</f>
        <v/>
      </c>
      <c r="G60" s="47">
        <f>IF(AND(D60&lt;&gt;"",E60&lt;&gt;"",D60&lt;&gt;E60),"GÜNCELLENDİ","")</f>
        <v/>
      </c>
      <c r="H60" s="48" t="inlineStr"/>
    </row>
    <row r="61">
      <c r="A61" s="47" t="inlineStr">
        <is>
          <t>34NZT548</t>
        </is>
      </c>
      <c r="B61" s="47" t="inlineStr">
        <is>
          <t>NL1CSU0B50G078268</t>
        </is>
      </c>
      <c r="C61" s="47" t="inlineStr">
        <is>
          <t>Parça Bekliyor</t>
        </is>
      </c>
      <c r="D61" s="47" t="inlineStr">
        <is>
          <t>OBC değişecek.</t>
        </is>
      </c>
      <c r="E61" s="47" t="inlineStr">
        <is>
          <t>OBC değişecek.</t>
        </is>
      </c>
      <c r="F61" s="47">
        <f>IF(D61="","",IF(OR(ISNUMBER(SEARCH("PARÇA DEĞİŞ",D61)),ISNUMBER(SEARCH("PARCA DEGIS",D61)),ISNUMBER(SEARCH("DEĞİŞECEK",D61)),ISNUMBER(SEARCH("DEGISECEK",D61)),ISNUMBER(SEARCH("DEĞİŞİM",D61)),ISNUMBER(SEARCH("DEGISIM",D61))),"PARÇA DEĞİŞİMİ",""))</f>
        <v/>
      </c>
      <c r="G61" s="47">
        <f>IF(AND(D61&lt;&gt;"",E61&lt;&gt;"",D61&lt;&gt;E61),"GÜNCELLENDİ","")</f>
        <v/>
      </c>
      <c r="H61" s="48" t="inlineStr"/>
    </row>
    <row r="62">
      <c r="A62" s="47" t="inlineStr">
        <is>
          <t>34NCM102</t>
        </is>
      </c>
      <c r="B62" s="47" t="inlineStr">
        <is>
          <t>NL1CSU0P90G058861</t>
        </is>
      </c>
      <c r="C62" s="47" t="inlineStr">
        <is>
          <t>Parça Bekliyor</t>
        </is>
      </c>
      <c r="D62" s="47" t="inlineStr">
        <is>
          <t>Ön tampon tesisatı bekliyor.</t>
        </is>
      </c>
      <c r="E62" s="47" t="inlineStr">
        <is>
          <t>Ön tampon tesisatı bekliyor.</t>
        </is>
      </c>
      <c r="F62" s="47">
        <f>IF(D62="","",IF(OR(ISNUMBER(SEARCH("PARÇA DEĞİŞ",D62)),ISNUMBER(SEARCH("PARCA DEGIS",D62)),ISNUMBER(SEARCH("DEĞİŞECEK",D62)),ISNUMBER(SEARCH("DEGISECEK",D62)),ISNUMBER(SEARCH("DEĞİŞİM",D62)),ISNUMBER(SEARCH("DEGISIM",D62))),"PARÇA DEĞİŞİMİ",""))</f>
        <v/>
      </c>
      <c r="G62" s="47">
        <f>IF(AND(D62&lt;&gt;"",E62&lt;&gt;"",D62&lt;&gt;E62),"GÜNCELLENDİ","")</f>
        <v/>
      </c>
      <c r="H62" s="48" t="inlineStr"/>
    </row>
    <row r="63">
      <c r="A63" s="47" t="inlineStr">
        <is>
          <t>22TGG129</t>
        </is>
      </c>
      <c r="B63" s="47" t="inlineStr">
        <is>
          <t>NL1CSU0P20G045322</t>
        </is>
      </c>
      <c r="C63" s="47" t="inlineStr">
        <is>
          <t>Parça Bekliyor</t>
        </is>
      </c>
      <c r="D63" s="47" t="inlineStr">
        <is>
          <t>OBC değişecek.</t>
        </is>
      </c>
      <c r="E63" s="47" t="inlineStr">
        <is>
          <t>OBC değişecek.</t>
        </is>
      </c>
      <c r="F63" s="47">
        <f>IF(D63="","",IF(OR(ISNUMBER(SEARCH("PARÇA DEĞİŞ",D63)),ISNUMBER(SEARCH("PARCA DEGIS",D63)),ISNUMBER(SEARCH("DEĞİŞECEK",D63)),ISNUMBER(SEARCH("DEGISECEK",D63)),ISNUMBER(SEARCH("DEĞİŞİM",D63)),ISNUMBER(SEARCH("DEGISIM",D63))),"PARÇA DEĞİŞİMİ",""))</f>
        <v/>
      </c>
      <c r="G63" s="47">
        <f>IF(AND(D63&lt;&gt;"",E63&lt;&gt;"",D63&lt;&gt;E63),"GÜNCELLENDİ","")</f>
        <v/>
      </c>
      <c r="H63" s="48" t="inlineStr"/>
    </row>
    <row r="64">
      <c r="A64" s="47" t="inlineStr">
        <is>
          <t>59AOY923</t>
        </is>
      </c>
      <c r="B64" s="47" t="inlineStr">
        <is>
          <t>NL1CFB0P30G098054</t>
        </is>
      </c>
      <c r="C64" s="47" t="inlineStr">
        <is>
          <t>Parça Bekliyor</t>
        </is>
      </c>
      <c r="D64" s="47" t="inlineStr">
        <is>
          <t>PEU değişti. Batarya bekliyor.</t>
        </is>
      </c>
      <c r="E64" s="47" t="inlineStr">
        <is>
          <t>PEU değişti. Batarya bekliyor.</t>
        </is>
      </c>
      <c r="F64" s="47">
        <f>IF(D64="","",IF(OR(ISNUMBER(SEARCH("PARÇA DEĞİŞ",D64)),ISNUMBER(SEARCH("PARCA DEGIS",D64)),ISNUMBER(SEARCH("DEĞİŞECEK",D64)),ISNUMBER(SEARCH("DEGISECEK",D64)),ISNUMBER(SEARCH("DEĞİŞİM",D64)),ISNUMBER(SEARCH("DEGISIM",D64))),"PARÇA DEĞİŞİMİ",""))</f>
        <v/>
      </c>
      <c r="G64" s="47">
        <f>IF(AND(D64&lt;&gt;"",E64&lt;&gt;"",D64&lt;&gt;E64),"GÜNCELLENDİ","")</f>
        <v/>
      </c>
      <c r="H64" s="48" t="inlineStr"/>
    </row>
    <row r="65">
      <c r="A65" s="47" t="inlineStr">
        <is>
          <t>34NJ039</t>
        </is>
      </c>
      <c r="B65" s="47" t="inlineStr">
        <is>
          <t>NL1CSU0P00G037882</t>
        </is>
      </c>
      <c r="C65" s="47" t="inlineStr">
        <is>
          <t>Parça Bekliyor</t>
        </is>
      </c>
      <c r="D65" s="47" t="inlineStr">
        <is>
          <t>OBC değişecek.</t>
        </is>
      </c>
      <c r="E65" s="47" t="inlineStr">
        <is>
          <t>OBC değişecek.</t>
        </is>
      </c>
      <c r="F65" s="47">
        <f>IF(D65="","",IF(OR(ISNUMBER(SEARCH("PARÇA DEĞİŞ",D65)),ISNUMBER(SEARCH("PARCA DEGIS",D65)),ISNUMBER(SEARCH("DEĞİŞECEK",D65)),ISNUMBER(SEARCH("DEGISECEK",D65)),ISNUMBER(SEARCH("DEĞİŞİM",D65)),ISNUMBER(SEARCH("DEGISIM",D65))),"PARÇA DEĞİŞİMİ",""))</f>
        <v/>
      </c>
      <c r="G65" s="47">
        <f>IF(AND(D65&lt;&gt;"",E65&lt;&gt;"",D65&lt;&gt;E65),"GÜNCELLENDİ","")</f>
        <v/>
      </c>
      <c r="H65" s="48" t="inlineStr"/>
    </row>
    <row r="66">
      <c r="A66" s="47" t="inlineStr">
        <is>
          <t>59ALZ647</t>
        </is>
      </c>
      <c r="B66" s="47" t="inlineStr">
        <is>
          <t>NL1CSU0PX0G063647</t>
        </is>
      </c>
      <c r="C66" s="47" t="inlineStr">
        <is>
          <t>Parça Bekliyor</t>
        </is>
      </c>
      <c r="D66" s="47" t="inlineStr">
        <is>
          <t>OBC değişecek.</t>
        </is>
      </c>
      <c r="E66" s="47" t="inlineStr">
        <is>
          <t>OBC değişecek.</t>
        </is>
      </c>
      <c r="F66" s="47">
        <f>IF(D66="","",IF(OR(ISNUMBER(SEARCH("PARÇA DEĞİŞ",D66)),ISNUMBER(SEARCH("PARCA DEGIS",D66)),ISNUMBER(SEARCH("DEĞİŞECEK",D66)),ISNUMBER(SEARCH("DEGISECEK",D66)),ISNUMBER(SEARCH("DEĞİŞİM",D66)),ISNUMBER(SEARCH("DEGISIM",D66))),"PARÇA DEĞİŞİMİ",""))</f>
        <v/>
      </c>
      <c r="G66" s="47">
        <f>IF(AND(D66&lt;&gt;"",E66&lt;&gt;"",D66&lt;&gt;E66),"GÜNCELLENDİ","")</f>
        <v/>
      </c>
      <c r="H66" s="48" t="inlineStr"/>
    </row>
    <row r="67">
      <c r="A67" s="47" t="inlineStr">
        <is>
          <t>34PTC512</t>
        </is>
      </c>
      <c r="B67" s="47" t="inlineStr">
        <is>
          <t>NL1CSU0P80G103319</t>
        </is>
      </c>
      <c r="C67" s="47" t="inlineStr">
        <is>
          <t>Parça Bekliyor</t>
        </is>
      </c>
      <c r="D67" s="47" t="inlineStr">
        <is>
          <t>OBC + İnlet değişecek.</t>
        </is>
      </c>
      <c r="E67" s="47" t="inlineStr">
        <is>
          <t>OBC + İnlet değişecek.</t>
        </is>
      </c>
      <c r="F67" s="47">
        <f>IF(D67="","",IF(OR(ISNUMBER(SEARCH("PARÇA DEĞİŞ",D67)),ISNUMBER(SEARCH("PARCA DEGIS",D67)),ISNUMBER(SEARCH("DEĞİŞECEK",D67)),ISNUMBER(SEARCH("DEGISECEK",D67)),ISNUMBER(SEARCH("DEĞİŞİM",D67)),ISNUMBER(SEARCH("DEGISIM",D67))),"PARÇA DEĞİŞİMİ",""))</f>
        <v/>
      </c>
      <c r="G67" s="47">
        <f>IF(AND(D67&lt;&gt;"",E67&lt;&gt;"",D67&lt;&gt;E67),"GÜNCELLENDİ","")</f>
        <v/>
      </c>
      <c r="H67" s="48" t="inlineStr"/>
    </row>
    <row r="68">
      <c r="A68" s="47" t="inlineStr">
        <is>
          <t>34MOV379</t>
        </is>
      </c>
      <c r="B68" s="47" t="inlineStr">
        <is>
          <t>NL1CSU0P80G043459</t>
        </is>
      </c>
      <c r="C68" s="47" t="inlineStr">
        <is>
          <t>Parça Bekliyor</t>
        </is>
      </c>
      <c r="D68" s="47" t="inlineStr">
        <is>
          <t>Ücretli OBC değişecek.</t>
        </is>
      </c>
      <c r="E68" s="47" t="inlineStr">
        <is>
          <t>Ücretli OBC değişecek.</t>
        </is>
      </c>
      <c r="F68" s="47">
        <f>IF(D68="","",IF(OR(ISNUMBER(SEARCH("PARÇA DEĞİŞ",D68)),ISNUMBER(SEARCH("PARCA DEGIS",D68)),ISNUMBER(SEARCH("DEĞİŞECEK",D68)),ISNUMBER(SEARCH("DEGISECEK",D68)),ISNUMBER(SEARCH("DEĞİŞİM",D68)),ISNUMBER(SEARCH("DEGISIM",D68))),"PARÇA DEĞİŞİMİ",""))</f>
        <v/>
      </c>
      <c r="G68" s="47">
        <f>IF(AND(D68&lt;&gt;"",E68&lt;&gt;"",D68&lt;&gt;E68),"GÜNCELLENDİ","")</f>
        <v/>
      </c>
      <c r="H68" s="48" t="inlineStr"/>
    </row>
    <row r="69">
      <c r="A69" s="47" t="inlineStr">
        <is>
          <t>34NHB510</t>
        </is>
      </c>
      <c r="B69" s="47" t="inlineStr">
        <is>
          <t>NL1CSU0B30G063302</t>
        </is>
      </c>
      <c r="C69" s="47" t="inlineStr">
        <is>
          <t>Parça Bekliyor</t>
        </is>
      </c>
      <c r="D69" s="47" t="inlineStr">
        <is>
          <t>OBC değişecek.</t>
        </is>
      </c>
      <c r="E69" s="47" t="inlineStr">
        <is>
          <t>OBC değişecek.</t>
        </is>
      </c>
      <c r="F69" s="47">
        <f>IF(D69="","",IF(OR(ISNUMBER(SEARCH("PARÇA DEĞİŞ",D69)),ISNUMBER(SEARCH("PARCA DEGIS",D69)),ISNUMBER(SEARCH("DEĞİŞECEK",D69)),ISNUMBER(SEARCH("DEGISECEK",D69)),ISNUMBER(SEARCH("DEĞİŞİM",D69)),ISNUMBER(SEARCH("DEGISIM",D69))),"PARÇA DEĞİŞİMİ",""))</f>
        <v/>
      </c>
      <c r="G69" s="47">
        <f>IF(AND(D69&lt;&gt;"",E69&lt;&gt;"",D69&lt;&gt;E69),"GÜNCELLENDİ","")</f>
        <v/>
      </c>
      <c r="H69" s="48" t="inlineStr"/>
    </row>
    <row r="70">
      <c r="A70" s="47" t="inlineStr">
        <is>
          <t>39ADH351</t>
        </is>
      </c>
      <c r="B70" s="47" t="inlineStr">
        <is>
          <t>NL1CSU0P80G025169</t>
        </is>
      </c>
      <c r="C70" s="47" t="inlineStr">
        <is>
          <t>Parça Bekliyor</t>
        </is>
      </c>
      <c r="D70" s="47" t="inlineStr">
        <is>
          <t>OBC değişecek.</t>
        </is>
      </c>
      <c r="E70" s="47" t="inlineStr">
        <is>
          <t>OBC değişecek.</t>
        </is>
      </c>
      <c r="F70" s="47">
        <f>IF(D70="","",IF(OR(ISNUMBER(SEARCH("PARÇA DEĞİŞ",D70)),ISNUMBER(SEARCH("PARCA DEGIS",D70)),ISNUMBER(SEARCH("DEĞİŞECEK",D70)),ISNUMBER(SEARCH("DEGISECEK",D70)),ISNUMBER(SEARCH("DEĞİŞİM",D70)),ISNUMBER(SEARCH("DEGISIM",D70))),"PARÇA DEĞİŞİMİ",""))</f>
        <v/>
      </c>
      <c r="G70" s="47">
        <f>IF(AND(D70&lt;&gt;"",E70&lt;&gt;"",D70&lt;&gt;E70),"GÜNCELLENDİ","")</f>
        <v/>
      </c>
      <c r="H70" s="48" t="inlineStr"/>
    </row>
    <row r="71">
      <c r="A71" s="47" t="inlineStr">
        <is>
          <t>34PSB047</t>
        </is>
      </c>
      <c r="B71" s="47" t="inlineStr">
        <is>
          <t>NL1CFB0P90G094042</t>
        </is>
      </c>
      <c r="C71" s="47" t="inlineStr">
        <is>
          <t>Parça Bekliyor</t>
        </is>
      </c>
      <c r="D71" s="47" t="inlineStr">
        <is>
          <t>Peu değişecek.</t>
        </is>
      </c>
      <c r="E71" s="47" t="inlineStr">
        <is>
          <t>Peu değişecek.</t>
        </is>
      </c>
      <c r="F71" s="47">
        <f>IF(D71="","",IF(OR(ISNUMBER(SEARCH("PARÇA DEĞİŞ",D71)),ISNUMBER(SEARCH("PARCA DEGIS",D71)),ISNUMBER(SEARCH("DEĞİŞECEK",D71)),ISNUMBER(SEARCH("DEGISECEK",D71)),ISNUMBER(SEARCH("DEĞİŞİM",D71)),ISNUMBER(SEARCH("DEGISIM",D71))),"PARÇA DEĞİŞİMİ",""))</f>
        <v/>
      </c>
      <c r="G71" s="47">
        <f>IF(AND(D71&lt;&gt;"",E71&lt;&gt;"",D71&lt;&gt;E71),"GÜNCELLENDİ","")</f>
        <v/>
      </c>
      <c r="H71" s="48" t="inlineStr"/>
    </row>
    <row r="72">
      <c r="A72" s="47" t="inlineStr">
        <is>
          <t>34MKH304</t>
        </is>
      </c>
      <c r="B72" s="47" t="inlineStr">
        <is>
          <t>NL1CSU0P40G045676</t>
        </is>
      </c>
      <c r="C72" s="47" t="inlineStr">
        <is>
          <t>Parça Bekliyor</t>
        </is>
      </c>
      <c r="D72" s="47" t="inlineStr">
        <is>
          <t>IDCC bekliyor.</t>
        </is>
      </c>
      <c r="E72" s="47" t="inlineStr">
        <is>
          <t>IDCC bekliyor.</t>
        </is>
      </c>
      <c r="F72" s="47">
        <f>IF(D72="","",IF(OR(ISNUMBER(SEARCH("PARÇA DEĞİŞ",D72)),ISNUMBER(SEARCH("PARCA DEGIS",D72)),ISNUMBER(SEARCH("DEĞİŞECEK",D72)),ISNUMBER(SEARCH("DEGISECEK",D72)),ISNUMBER(SEARCH("DEĞİŞİM",D72)),ISNUMBER(SEARCH("DEGISIM",D72))),"PARÇA DEĞİŞİMİ",""))</f>
        <v/>
      </c>
      <c r="G72" s="47">
        <f>IF(AND(D72&lt;&gt;"",E72&lt;&gt;"",D72&lt;&gt;E72),"GÜNCELLENDİ","")</f>
        <v/>
      </c>
      <c r="H72" s="48" t="inlineStr"/>
    </row>
    <row r="73">
      <c r="A73" s="47" t="inlineStr">
        <is>
          <t>34KAZ175</t>
        </is>
      </c>
      <c r="B73" s="47" t="inlineStr">
        <is>
          <t>NL1CSU0P90G024452</t>
        </is>
      </c>
      <c r="C73" s="47" t="inlineStr">
        <is>
          <t>Parça Bekliyor</t>
        </is>
      </c>
      <c r="D73" s="47" t="inlineStr">
        <is>
          <t>OBC+İNLET DEĞİŞECEK</t>
        </is>
      </c>
      <c r="E73" s="47" t="inlineStr">
        <is>
          <t>OBC+İNLET DEĞİŞECEK</t>
        </is>
      </c>
      <c r="F73" s="47">
        <f>IF(D73="","",IF(OR(ISNUMBER(SEARCH("PARÇA DEĞİŞ",D73)),ISNUMBER(SEARCH("PARCA DEGIS",D73)),ISNUMBER(SEARCH("DEĞİŞECEK",D73)),ISNUMBER(SEARCH("DEGISECEK",D73)),ISNUMBER(SEARCH("DEĞİŞİM",D73)),ISNUMBER(SEARCH("DEGISIM",D73))),"PARÇA DEĞİŞİMİ",""))</f>
        <v/>
      </c>
      <c r="G73" s="47">
        <f>IF(AND(D73&lt;&gt;"",E73&lt;&gt;"",D73&lt;&gt;E73),"GÜNCELLENDİ","")</f>
        <v/>
      </c>
      <c r="H73" s="48" t="inlineStr"/>
    </row>
    <row r="74">
      <c r="A74" s="47" t="inlineStr">
        <is>
          <t>34AEY432</t>
        </is>
      </c>
      <c r="B74" s="47" t="inlineStr">
        <is>
          <t>NL1CSU0P80G001213</t>
        </is>
      </c>
      <c r="C74" s="47" t="inlineStr">
        <is>
          <t>Teslimat Sürecinde</t>
        </is>
      </c>
      <c r="D74" s="47" t="inlineStr">
        <is>
          <t>OBC değişti. Diğer işlemleri devam ediyor. 22.09.2026 teslim</t>
        </is>
      </c>
      <c r="E74" s="47" t="inlineStr">
        <is>
          <t>OBC değişti. Diğer işlemleri devam ediyor. 22.09.2026 teslim</t>
        </is>
      </c>
      <c r="F74" s="47">
        <f>IF(D74="","",IF(OR(ISNUMBER(SEARCH("PARÇA DEĞİŞ",D74)),ISNUMBER(SEARCH("PARCA DEGIS",D74)),ISNUMBER(SEARCH("DEĞİŞECEK",D74)),ISNUMBER(SEARCH("DEGISECEK",D74)),ISNUMBER(SEARCH("DEĞİŞİM",D74)),ISNUMBER(SEARCH("DEGISIM",D74))),"PARÇA DEĞİŞİMİ",""))</f>
        <v/>
      </c>
      <c r="G74" s="47">
        <f>IF(AND(D74&lt;&gt;"",E74&lt;&gt;"",D74&lt;&gt;E74),"GÜNCELLENDİ","")</f>
        <v/>
      </c>
      <c r="H74" s="48" t="inlineStr"/>
    </row>
    <row r="75">
      <c r="A75" s="47" t="inlineStr">
        <is>
          <t>34MIR972</t>
        </is>
      </c>
      <c r="B75" s="47" t="inlineStr">
        <is>
          <t>NL1CSU0PX0G039199</t>
        </is>
      </c>
      <c r="C75" s="47" t="inlineStr">
        <is>
          <t>Teslimat Sürecinde</t>
        </is>
      </c>
      <c r="D75" s="47" t="inlineStr">
        <is>
          <t>OBC değişti. Radar kalibrasyonu yapıldı. Test ediliyor. 21.09.2026 teslim.</t>
        </is>
      </c>
      <c r="E75" s="47" t="inlineStr">
        <is>
          <t>OBC değişti. Radar kalibrasyonu yapıldı. Test ediliyor. 21.09.2026 teslim.</t>
        </is>
      </c>
      <c r="F75" s="47">
        <f>IF(D75="","",IF(OR(ISNUMBER(SEARCH("PARÇA DEĞİŞ",D75)),ISNUMBER(SEARCH("PARCA DEGIS",D75)),ISNUMBER(SEARCH("DEĞİŞECEK",D75)),ISNUMBER(SEARCH("DEGISECEK",D75)),ISNUMBER(SEARCH("DEĞİŞİM",D75)),ISNUMBER(SEARCH("DEGISIM",D75))),"PARÇA DEĞİŞİMİ",""))</f>
        <v/>
      </c>
      <c r="G75" s="47">
        <f>IF(AND(D75&lt;&gt;"",E75&lt;&gt;"",D75&lt;&gt;E75),"GÜNCELLENDİ","")</f>
        <v/>
      </c>
      <c r="H75" s="48" t="inlineStr"/>
    </row>
    <row r="76">
      <c r="A76" s="47" t="inlineStr">
        <is>
          <t>34BED008</t>
        </is>
      </c>
      <c r="B76" s="47" t="inlineStr">
        <is>
          <t>NL1CSU0P70G037233</t>
        </is>
      </c>
      <c r="C76" s="47" t="inlineStr">
        <is>
          <t>Teslimat Sürecinde</t>
        </is>
      </c>
      <c r="D76" s="47" t="inlineStr">
        <is>
          <t>OBC değişti. Teslim edilecek</t>
        </is>
      </c>
      <c r="E76" s="47" t="inlineStr">
        <is>
          <t>OBC değişti. Teslim edilecek</t>
        </is>
      </c>
      <c r="F76" s="47">
        <f>IF(D76="","",IF(OR(ISNUMBER(SEARCH("PARÇA DEĞİŞ",D76)),ISNUMBER(SEARCH("PARCA DEGIS",D76)),ISNUMBER(SEARCH("DEĞİŞECEK",D76)),ISNUMBER(SEARCH("DEGISECEK",D76)),ISNUMBER(SEARCH("DEĞİŞİM",D76)),ISNUMBER(SEARCH("DEGISIM",D76))),"PARÇA DEĞİŞİMİ",""))</f>
        <v/>
      </c>
      <c r="G76" s="47">
        <f>IF(AND(D76&lt;&gt;"",E76&lt;&gt;"",D76&lt;&gt;E76),"GÜNCELLENDİ","")</f>
        <v/>
      </c>
      <c r="H76" s="48" t="inlineStr"/>
    </row>
    <row r="77">
      <c r="A77" s="47" t="inlineStr">
        <is>
          <t>59ALG892</t>
        </is>
      </c>
      <c r="B77" s="47" t="inlineStr">
        <is>
          <t>NL1CSU0P30G053638</t>
        </is>
      </c>
      <c r="C77" s="47" t="inlineStr">
        <is>
          <t>Teslimat Sürecinde</t>
        </is>
      </c>
      <c r="D77" s="47" t="inlineStr">
        <is>
          <t>OBC değişti. İkame teslim alınmadan tekrar aynı arıza ile geldi. Tekrar OBC değişecek.</t>
        </is>
      </c>
      <c r="E77" s="47" t="inlineStr">
        <is>
          <t>OBC değişti. İkame teslim alınmadan tekrar aynı arıza ile geldi. Tekrar OBC değişecek.</t>
        </is>
      </c>
      <c r="F77" s="47">
        <f>IF(D77="","",IF(OR(ISNUMBER(SEARCH("PARÇA DEĞİŞ",D77)),ISNUMBER(SEARCH("PARCA DEGIS",D77)),ISNUMBER(SEARCH("DEĞİŞECEK",D77)),ISNUMBER(SEARCH("DEGISECEK",D77)),ISNUMBER(SEARCH("DEĞİŞİM",D77)),ISNUMBER(SEARCH("DEGISIM",D77))),"PARÇA DEĞİŞİMİ",""))</f>
        <v/>
      </c>
      <c r="G77" s="47">
        <f>IF(AND(D77&lt;&gt;"",E77&lt;&gt;"",D77&lt;&gt;E77),"GÜNCELLENDİ","")</f>
        <v/>
      </c>
      <c r="H77" s="48" t="inlineStr"/>
    </row>
    <row r="78">
      <c r="A78" s="47" t="inlineStr">
        <is>
          <t>34PAE955</t>
        </is>
      </c>
      <c r="B78" s="47" t="inlineStr">
        <is>
          <t>NL1CSU0P40G076006</t>
        </is>
      </c>
      <c r="C78" s="47" t="inlineStr">
        <is>
          <t>Teslimat Sürecinde</t>
        </is>
      </c>
      <c r="D78" s="47" t="inlineStr">
        <is>
          <t>21.09.2026 Teslim edilecek.</t>
        </is>
      </c>
      <c r="E78" s="47" t="inlineStr">
        <is>
          <t>21.09.2026 Teslim edilecek.</t>
        </is>
      </c>
      <c r="F78" s="47">
        <f>IF(D78="","",IF(OR(ISNUMBER(SEARCH("PARÇA DEĞİŞ",D78)),ISNUMBER(SEARCH("PARCA DEGIS",D78)),ISNUMBER(SEARCH("DEĞİŞECEK",D78)),ISNUMBER(SEARCH("DEGISECEK",D78)),ISNUMBER(SEARCH("DEĞİŞİM",D78)),ISNUMBER(SEARCH("DEGISIM",D78))),"PARÇA DEĞİŞİMİ",""))</f>
        <v/>
      </c>
      <c r="G78" s="47">
        <f>IF(AND(D78&lt;&gt;"",E78&lt;&gt;"",D78&lt;&gt;E78),"GÜNCELLENDİ","")</f>
        <v/>
      </c>
      <c r="H78" s="48" t="inlineStr"/>
    </row>
    <row r="79">
      <c r="A79" s="47" t="inlineStr">
        <is>
          <t>34HHC478</t>
        </is>
      </c>
      <c r="B79" s="47" t="inlineStr">
        <is>
          <t>NL1CSU0P30G003449</t>
        </is>
      </c>
      <c r="C79" s="47" t="inlineStr">
        <is>
          <t>Teslimat Sürecinde</t>
        </is>
      </c>
      <c r="D79" s="47" t="inlineStr">
        <is>
          <t>24.09.2026 teslim edilecek.</t>
        </is>
      </c>
      <c r="E79" s="47" t="inlineStr">
        <is>
          <t>24.09.2026 teslim edilecek.</t>
        </is>
      </c>
      <c r="F79" s="47">
        <f>IF(D79="","",IF(OR(ISNUMBER(SEARCH("PARÇA DEĞİŞ",D79)),ISNUMBER(SEARCH("PARCA DEGIS",D79)),ISNUMBER(SEARCH("DEĞİŞECEK",D79)),ISNUMBER(SEARCH("DEGISECEK",D79)),ISNUMBER(SEARCH("DEĞİŞİM",D79)),ISNUMBER(SEARCH("DEGISIM",D79))),"PARÇA DEĞİŞİMİ",""))</f>
        <v/>
      </c>
      <c r="G79" s="47">
        <f>IF(AND(D79&lt;&gt;"",E79&lt;&gt;"",D79&lt;&gt;E79),"GÜNCELLENDİ","")</f>
        <v/>
      </c>
      <c r="H79" s="48" t="inlineStr"/>
    </row>
    <row r="80">
      <c r="A80" s="47" t="inlineStr">
        <is>
          <t>34KKN698</t>
        </is>
      </c>
      <c r="B80" s="47" t="inlineStr">
        <is>
          <t>NL1CSU0PX0G009023</t>
        </is>
      </c>
      <c r="C80" s="47" t="inlineStr">
        <is>
          <t>Teslimat Sürecinde</t>
        </is>
      </c>
      <c r="D80" s="47" t="inlineStr">
        <is>
          <t>OBC değişti. Teslim edilecek</t>
        </is>
      </c>
      <c r="E80" s="47" t="inlineStr">
        <is>
          <t>OBC değişti. Teslim edilecek</t>
        </is>
      </c>
      <c r="F80" s="47">
        <f>IF(D80="","",IF(OR(ISNUMBER(SEARCH("PARÇA DEĞİŞ",D80)),ISNUMBER(SEARCH("PARCA DEGIS",D80)),ISNUMBER(SEARCH("DEĞİŞECEK",D80)),ISNUMBER(SEARCH("DEGISECEK",D80)),ISNUMBER(SEARCH("DEĞİŞİM",D80)),ISNUMBER(SEARCH("DEGISIM",D80))),"PARÇA DEĞİŞİMİ",""))</f>
        <v/>
      </c>
      <c r="G80" s="47">
        <f>IF(AND(D80&lt;&gt;"",E80&lt;&gt;"",D80&lt;&gt;E80),"GÜNCELLENDİ","")</f>
        <v/>
      </c>
      <c r="H80" s="48" t="inlineStr"/>
    </row>
    <row r="81">
      <c r="A81" s="47" t="inlineStr">
        <is>
          <t>59AIT023</t>
        </is>
      </c>
      <c r="B81" s="47" t="inlineStr">
        <is>
          <t>NL1CSU0P60G023453</t>
        </is>
      </c>
      <c r="C81" s="47" t="inlineStr">
        <is>
          <t>Teslimat Sürecinde</t>
        </is>
      </c>
      <c r="D81" s="47" t="inlineStr">
        <is>
          <t>İnlet değişti. 21.09.2026 teslim edilecek.</t>
        </is>
      </c>
      <c r="E81" s="47" t="inlineStr">
        <is>
          <t>İnlet değişti. 21.09.2026 teslim edilecek.</t>
        </is>
      </c>
      <c r="F81" s="47">
        <f>IF(D81="","",IF(OR(ISNUMBER(SEARCH("PARÇA DEĞİŞ",D81)),ISNUMBER(SEARCH("PARCA DEGIS",D81)),ISNUMBER(SEARCH("DEĞİŞECEK",D81)),ISNUMBER(SEARCH("DEGISECEK",D81)),ISNUMBER(SEARCH("DEĞİŞİM",D81)),ISNUMBER(SEARCH("DEGISIM",D81))),"PARÇA DEĞİŞİMİ",""))</f>
        <v/>
      </c>
      <c r="G81" s="47">
        <f>IF(AND(D81&lt;&gt;"",E81&lt;&gt;"",D81&lt;&gt;E81),"GÜNCELLENDİ","")</f>
        <v/>
      </c>
      <c r="H81" s="48" t="inlineStr"/>
    </row>
    <row r="82">
      <c r="A82" s="47" t="inlineStr">
        <is>
          <t>59AOD835</t>
        </is>
      </c>
      <c r="B82" s="47" t="inlineStr">
        <is>
          <t>NL1CFB0P60G083354</t>
        </is>
      </c>
      <c r="C82" s="47" t="inlineStr">
        <is>
          <t>Teslimat Sürecinde</t>
        </is>
      </c>
      <c r="D82" s="47" t="inlineStr">
        <is>
          <t>İkamesi teslim alındı.</t>
        </is>
      </c>
      <c r="E82" s="47" t="inlineStr">
        <is>
          <t>İkamesi teslim alındı.</t>
        </is>
      </c>
      <c r="F82" s="47">
        <f>IF(D82="","",IF(OR(ISNUMBER(SEARCH("PARÇA DEĞİŞ",D82)),ISNUMBER(SEARCH("PARCA DEGIS",D82)),ISNUMBER(SEARCH("DEĞİŞECEK",D82)),ISNUMBER(SEARCH("DEGISECEK",D82)),ISNUMBER(SEARCH("DEĞİŞİM",D82)),ISNUMBER(SEARCH("DEGISIM",D82))),"PARÇA DEĞİŞİMİ",""))</f>
        <v/>
      </c>
      <c r="G82" s="47">
        <f>IF(AND(D82&lt;&gt;"",E82&lt;&gt;"",D82&lt;&gt;E82),"GÜNCELLENDİ","")</f>
        <v/>
      </c>
      <c r="H82" s="48" t="inlineStr"/>
    </row>
    <row r="83">
      <c r="A83" s="47" t="inlineStr">
        <is>
          <t>59APN544</t>
        </is>
      </c>
      <c r="B83" s="47" t="inlineStr">
        <is>
          <t>NL1CFB0P30G112468</t>
        </is>
      </c>
      <c r="C83" s="47" t="inlineStr">
        <is>
          <t>Teslimat Sürecinde</t>
        </is>
      </c>
      <c r="D83" s="47" t="inlineStr">
        <is>
          <t>Teslim edildi. İkame teslim alındı.</t>
        </is>
      </c>
      <c r="E83" s="47" t="inlineStr">
        <is>
          <t>Teslim edildi. İkame teslim alındı.</t>
        </is>
      </c>
      <c r="F83" s="47">
        <f>IF(D83="","",IF(OR(ISNUMBER(SEARCH("PARÇA DEĞİŞ",D83)),ISNUMBER(SEARCH("PARCA DEGIS",D83)),ISNUMBER(SEARCH("DEĞİŞECEK",D83)),ISNUMBER(SEARCH("DEGISECEK",D83)),ISNUMBER(SEARCH("DEĞİŞİM",D83)),ISNUMBER(SEARCH("DEGISIM",D83))),"PARÇA DEĞİŞİMİ",""))</f>
        <v/>
      </c>
      <c r="G83" s="47">
        <f>IF(AND(D83&lt;&gt;"",E83&lt;&gt;"",D83&lt;&gt;E83),"GÜNCELLENDİ","")</f>
        <v/>
      </c>
      <c r="H83" s="48" t="inlineStr"/>
    </row>
    <row r="84">
      <c r="A84" s="47" t="inlineStr">
        <is>
          <t>22TOG105</t>
        </is>
      </c>
      <c r="B84" s="47" t="inlineStr">
        <is>
          <t>NL1CSU0P60G043234</t>
        </is>
      </c>
      <c r="C84" s="47" t="inlineStr">
        <is>
          <t>Teslimat Sürecinde</t>
        </is>
      </c>
      <c r="D84" s="47" t="inlineStr">
        <is>
          <t>İşlemleri bitti. 22.09.2026 teslim edilecek.</t>
        </is>
      </c>
      <c r="E84" s="47" t="inlineStr">
        <is>
          <t>İşlemleri bitti. 22.09.2026 teslim edilecek.</t>
        </is>
      </c>
      <c r="F84" s="47">
        <f>IF(D84="","",IF(OR(ISNUMBER(SEARCH("PARÇA DEĞİŞ",D84)),ISNUMBER(SEARCH("PARCA DEGIS",D84)),ISNUMBER(SEARCH("DEĞİŞECEK",D84)),ISNUMBER(SEARCH("DEGISECEK",D84)),ISNUMBER(SEARCH("DEĞİŞİM",D84)),ISNUMBER(SEARCH("DEGISIM",D84))),"PARÇA DEĞİŞİMİ",""))</f>
        <v/>
      </c>
      <c r="G84" s="47">
        <f>IF(AND(D84&lt;&gt;"",E84&lt;&gt;"",D84&lt;&gt;E84),"GÜNCELLENDİ","")</f>
        <v/>
      </c>
      <c r="H84" s="48" t="inlineStr"/>
    </row>
    <row r="85">
      <c r="A85" s="47" t="inlineStr">
        <is>
          <t>34TC6952</t>
        </is>
      </c>
      <c r="B85" s="47" t="inlineStr">
        <is>
          <t>NL1CSU0P20G003197</t>
        </is>
      </c>
      <c r="C85" s="47" t="inlineStr">
        <is>
          <t>Teslimat Sürecinde</t>
        </is>
      </c>
      <c r="D85" s="47" t="inlineStr">
        <is>
          <t>İşlemleri bitti. Kontrol ediliyor. 21.09.2026 teslim.</t>
        </is>
      </c>
      <c r="E85" s="47" t="inlineStr">
        <is>
          <t>İşlemleri bitti. Kontrol ediliyor. 21.09.2026 teslim.</t>
        </is>
      </c>
      <c r="F85" s="47">
        <f>IF(D85="","",IF(OR(ISNUMBER(SEARCH("PARÇA DEĞİŞ",D85)),ISNUMBER(SEARCH("PARCA DEGIS",D85)),ISNUMBER(SEARCH("DEĞİŞECEK",D85)),ISNUMBER(SEARCH("DEGISECEK",D85)),ISNUMBER(SEARCH("DEĞİŞİM",D85)),ISNUMBER(SEARCH("DEGISIM",D85))),"PARÇA DEĞİŞİMİ",""))</f>
        <v/>
      </c>
      <c r="G85" s="47">
        <f>IF(AND(D85&lt;&gt;"",E85&lt;&gt;"",D85&lt;&gt;E85),"GÜNCELLENDİ","")</f>
        <v/>
      </c>
      <c r="H85" s="48" t="inlineStr"/>
    </row>
    <row r="86">
      <c r="A86" s="47" t="inlineStr">
        <is>
          <t>59AKL433</t>
        </is>
      </c>
      <c r="B86" s="47" t="inlineStr">
        <is>
          <t>NL1CSU0P00G040636</t>
        </is>
      </c>
      <c r="C86" s="47" t="inlineStr">
        <is>
          <t>Teslimat Sürecinde</t>
        </is>
      </c>
      <c r="D86" s="47" t="inlineStr">
        <is>
          <t>şarj kesiyor. İşlemleri bitti. Testleri yapılıyor. 22.09.2026 teslim</t>
        </is>
      </c>
      <c r="E86" s="47" t="inlineStr">
        <is>
          <t>şarj kesiyor. İşlemleri bitti. Testleri yapılıyor. 22.09.2026 teslim</t>
        </is>
      </c>
      <c r="F86" s="47">
        <f>IF(D86="","",IF(OR(ISNUMBER(SEARCH("PARÇA DEĞİŞ",D86)),ISNUMBER(SEARCH("PARCA DEGIS",D86)),ISNUMBER(SEARCH("DEĞİŞECEK",D86)),ISNUMBER(SEARCH("DEGISECEK",D86)),ISNUMBER(SEARCH("DEĞİŞİM",D86)),ISNUMBER(SEARCH("DEGISIM",D86))),"PARÇA DEĞİŞİMİ",""))</f>
        <v/>
      </c>
      <c r="G86" s="47">
        <f>IF(AND(D86&lt;&gt;"",E86&lt;&gt;"",D86&lt;&gt;E86),"GÜNCELLENDİ","")</f>
        <v/>
      </c>
      <c r="H86" s="48" t="inlineStr"/>
    </row>
    <row r="87">
      <c r="A87" s="47" t="inlineStr">
        <is>
          <t>34HPV863</t>
        </is>
      </c>
      <c r="B87" s="47" t="inlineStr">
        <is>
          <t>NL1CSU0PX0G012469</t>
        </is>
      </c>
      <c r="C87" s="47" t="inlineStr">
        <is>
          <t>Teslimat Sürecinde</t>
        </is>
      </c>
      <c r="D87" s="47" t="inlineStr">
        <is>
          <t>Batarya değişti. Teslim edilecek.</t>
        </is>
      </c>
      <c r="E87" s="47" t="inlineStr">
        <is>
          <t>Batarya değişti. Teslim edilecek.</t>
        </is>
      </c>
      <c r="F87" s="47">
        <f>IF(D87="","",IF(OR(ISNUMBER(SEARCH("PARÇA DEĞİŞ",D87)),ISNUMBER(SEARCH("PARCA DEGIS",D87)),ISNUMBER(SEARCH("DEĞİŞECEK",D87)),ISNUMBER(SEARCH("DEGISECEK",D87)),ISNUMBER(SEARCH("DEĞİŞİM",D87)),ISNUMBER(SEARCH("DEGISIM",D87))),"PARÇA DEĞİŞİMİ",""))</f>
        <v/>
      </c>
      <c r="G87" s="47">
        <f>IF(AND(D87&lt;&gt;"",E87&lt;&gt;"",D87&lt;&gt;E87),"GÜNCELLENDİ","")</f>
        <v/>
      </c>
      <c r="H87" s="48" t="inlineStr"/>
    </row>
    <row r="88">
      <c r="A88" s="47" t="inlineStr">
        <is>
          <t>22AEE949</t>
        </is>
      </c>
      <c r="B88" s="47" t="inlineStr">
        <is>
          <t>NL1CSU0P30G043286</t>
        </is>
      </c>
      <c r="C88" s="47" t="inlineStr">
        <is>
          <t>Teslimat Sürecinde</t>
        </is>
      </c>
      <c r="D88" s="47" t="inlineStr">
        <is>
          <t>İşlemleri bitti. 21.09.2026 teslim</t>
        </is>
      </c>
      <c r="E88" s="47" t="inlineStr">
        <is>
          <t>İşlemleri bitti. 21.09.2026 teslim</t>
        </is>
      </c>
      <c r="F88" s="47">
        <f>IF(D88="","",IF(OR(ISNUMBER(SEARCH("PARÇA DEĞİŞ",D88)),ISNUMBER(SEARCH("PARCA DEGIS",D88)),ISNUMBER(SEARCH("DEĞİŞECEK",D88)),ISNUMBER(SEARCH("DEGISECEK",D88)),ISNUMBER(SEARCH("DEĞİŞİM",D88)),ISNUMBER(SEARCH("DEGISIM",D88))),"PARÇA DEĞİŞİMİ",""))</f>
        <v/>
      </c>
      <c r="G88" s="47">
        <f>IF(AND(D88&lt;&gt;"",E88&lt;&gt;"",D88&lt;&gt;E88),"GÜNCELLENDİ","")</f>
        <v/>
      </c>
      <c r="H88" s="48" t="inlineStr"/>
    </row>
    <row r="89">
      <c r="A89" s="47" t="inlineStr">
        <is>
          <t>34TC5516</t>
        </is>
      </c>
      <c r="B89" s="47" t="inlineStr">
        <is>
          <t>NL1CSU0P80G031893</t>
        </is>
      </c>
      <c r="C89" s="47" t="inlineStr">
        <is>
          <t>Teslimat Sürecinde</t>
        </is>
      </c>
      <c r="D89" s="47" t="inlineStr">
        <is>
          <t>Şasi noktaları temizlendi. Mekanik diğer şikayetleri tamamlanıyor. 24.09.2026 teslim</t>
        </is>
      </c>
      <c r="E89" s="47" t="inlineStr">
        <is>
          <t>Şasi noktaları temizlendi. Mekanik diğer şikayetleri tamamlanıyor. 24.09.2026 teslim</t>
        </is>
      </c>
      <c r="F89" s="47">
        <f>IF(D89="","",IF(OR(ISNUMBER(SEARCH("PARÇA DEĞİŞ",D89)),ISNUMBER(SEARCH("PARCA DEGIS",D89)),ISNUMBER(SEARCH("DEĞİŞECEK",D89)),ISNUMBER(SEARCH("DEGISECEK",D89)),ISNUMBER(SEARCH("DEĞİŞİM",D89)),ISNUMBER(SEARCH("DEGISIM",D89))),"PARÇA DEĞİŞİMİ",""))</f>
        <v/>
      </c>
      <c r="G89" s="47">
        <f>IF(AND(D89&lt;&gt;"",E89&lt;&gt;"",D89&lt;&gt;E89),"GÜNCELLENDİ","")</f>
        <v/>
      </c>
      <c r="H89" s="48" t="inlineStr"/>
    </row>
    <row r="90">
      <c r="A90" s="47" t="inlineStr">
        <is>
          <t>22ADN500</t>
        </is>
      </c>
      <c r="B90" s="47" t="inlineStr">
        <is>
          <t>NL1CFB0P70G089020</t>
        </is>
      </c>
      <c r="C90" s="47" t="inlineStr">
        <is>
          <t>Teslimat Sürecinde</t>
        </is>
      </c>
      <c r="D90" s="47" t="inlineStr">
        <is>
          <t>PEU değişti. 22.09.20206 teslim.</t>
        </is>
      </c>
      <c r="E90" s="47" t="inlineStr">
        <is>
          <t>PEU değişti. 22.09.20206 teslim.</t>
        </is>
      </c>
      <c r="F90" s="47">
        <f>IF(D90="","",IF(OR(ISNUMBER(SEARCH("PARÇA DEĞİŞ",D90)),ISNUMBER(SEARCH("PARCA DEGIS",D90)),ISNUMBER(SEARCH("DEĞİŞECEK",D90)),ISNUMBER(SEARCH("DEGISECEK",D90)),ISNUMBER(SEARCH("DEĞİŞİM",D90)),ISNUMBER(SEARCH("DEGISIM",D90))),"PARÇA DEĞİŞİMİ",""))</f>
        <v/>
      </c>
      <c r="G90" s="47">
        <f>IF(AND(D90&lt;&gt;"",E90&lt;&gt;"",D90&lt;&gt;E90),"GÜNCELLENDİ","")</f>
        <v/>
      </c>
      <c r="H90" s="48" t="inlineStr"/>
    </row>
    <row r="91">
      <c r="A91" s="47" t="inlineStr">
        <is>
          <t>34KY429</t>
        </is>
      </c>
      <c r="B91" s="47" t="inlineStr">
        <is>
          <t>NL1CSU0P80G028993</t>
        </is>
      </c>
      <c r="C91" s="47" t="inlineStr">
        <is>
          <t>Teslimat Sürecinde</t>
        </is>
      </c>
      <c r="D91" s="47" t="inlineStr">
        <is>
          <t>İnlet değişti. Teslim edilecek</t>
        </is>
      </c>
      <c r="E91" s="47" t="inlineStr">
        <is>
          <t>İnlet değişti. Teslim edilecek</t>
        </is>
      </c>
      <c r="F91" s="47">
        <f>IF(D91="","",IF(OR(ISNUMBER(SEARCH("PARÇA DEĞİŞ",D91)),ISNUMBER(SEARCH("PARCA DEGIS",D91)),ISNUMBER(SEARCH("DEĞİŞECEK",D91)),ISNUMBER(SEARCH("DEGISECEK",D91)),ISNUMBER(SEARCH("DEĞİŞİM",D91)),ISNUMBER(SEARCH("DEGISIM",D91))),"PARÇA DEĞİŞİMİ",""))</f>
        <v/>
      </c>
      <c r="G91" s="47">
        <f>IF(AND(D91&lt;&gt;"",E91&lt;&gt;"",D91&lt;&gt;E91),"GÜNCELLENDİ","")</f>
        <v/>
      </c>
      <c r="H91" s="48" t="inlineStr"/>
    </row>
    <row r="92">
      <c r="A92" s="47" t="inlineStr">
        <is>
          <t>39TOG016</t>
        </is>
      </c>
      <c r="B92" s="47" t="inlineStr">
        <is>
          <t>NL1CSU0P10G004857</t>
        </is>
      </c>
      <c r="C92" s="47" t="inlineStr">
        <is>
          <t>Teslimat Sürecinde</t>
        </is>
      </c>
      <c r="D92" s="47" t="inlineStr">
        <is>
          <t>Yol yardım beklerken minibüs çarpmış. Pert olacak.</t>
        </is>
      </c>
      <c r="E92" s="47" t="inlineStr">
        <is>
          <t>Yol yardım beklerken minibüs çarpmış. Pert olacak.</t>
        </is>
      </c>
      <c r="F92" s="47">
        <f>IF(D92="","",IF(OR(ISNUMBER(SEARCH("PARÇA DEĞİŞ",D92)),ISNUMBER(SEARCH("PARCA DEGIS",D92)),ISNUMBER(SEARCH("DEĞİŞECEK",D92)),ISNUMBER(SEARCH("DEGISECEK",D92)),ISNUMBER(SEARCH("DEĞİŞİM",D92)),ISNUMBER(SEARCH("DEGISIM",D92))),"PARÇA DEĞİŞİMİ",""))</f>
        <v/>
      </c>
      <c r="G92" s="47">
        <f>IF(AND(D92&lt;&gt;"",E92&lt;&gt;"",D92&lt;&gt;E92),"GÜNCELLENDİ","")</f>
        <v/>
      </c>
      <c r="H92" s="48" t="inlineStr"/>
    </row>
    <row r="93">
      <c r="A93" s="47" t="inlineStr">
        <is>
          <t>59ALU670</t>
        </is>
      </c>
      <c r="B93" s="47" t="inlineStr">
        <is>
          <t>NL1CSU0P30G060072</t>
        </is>
      </c>
      <c r="C93" s="47" t="inlineStr">
        <is>
          <t>Teslimat Sürecinde</t>
        </is>
      </c>
      <c r="D93" s="47" t="inlineStr">
        <is>
          <t>işlemleri bitti. Teslim edilecek</t>
        </is>
      </c>
      <c r="E93" s="47" t="inlineStr">
        <is>
          <t>işlemleri bitti. Teslim edilecek</t>
        </is>
      </c>
      <c r="F93" s="47">
        <f>IF(D93="","",IF(OR(ISNUMBER(SEARCH("PARÇA DEĞİŞ",D93)),ISNUMBER(SEARCH("PARCA DEGIS",D93)),ISNUMBER(SEARCH("DEĞİŞECEK",D93)),ISNUMBER(SEARCH("DEGISECEK",D93)),ISNUMBER(SEARCH("DEĞİŞİM",D93)),ISNUMBER(SEARCH("DEGISIM",D93))),"PARÇA DEĞİŞİMİ",""))</f>
        <v/>
      </c>
      <c r="G93" s="47">
        <f>IF(AND(D93&lt;&gt;"",E93&lt;&gt;"",D93&lt;&gt;E93),"GÜNCELLENDİ","")</f>
        <v/>
      </c>
      <c r="H93" s="48" t="inlineStr"/>
    </row>
    <row r="94">
      <c r="A94" s="47" t="inlineStr">
        <is>
          <t>59APU887</t>
        </is>
      </c>
      <c r="B94" s="47" t="inlineStr">
        <is>
          <t>NL1CSU0B20G117270</t>
        </is>
      </c>
      <c r="C94" s="47" t="inlineStr">
        <is>
          <t>Teslimat Sürecinde</t>
        </is>
      </c>
      <c r="D94" s="47" t="inlineStr">
        <is>
          <t xml:space="preserve">21.09.2026 teslim edildi. </t>
        </is>
      </c>
      <c r="E94" s="47" t="inlineStr">
        <is>
          <t xml:space="preserve">21.09.2026 teslim edildi. </t>
        </is>
      </c>
      <c r="F94" s="47">
        <f>IF(D94="","",IF(OR(ISNUMBER(SEARCH("PARÇA DEĞİŞ",D94)),ISNUMBER(SEARCH("PARCA DEGIS",D94)),ISNUMBER(SEARCH("DEĞİŞECEK",D94)),ISNUMBER(SEARCH("DEGISECEK",D94)),ISNUMBER(SEARCH("DEĞİŞİM",D94)),ISNUMBER(SEARCH("DEGISIM",D94))),"PARÇA DEĞİŞİMİ",""))</f>
        <v/>
      </c>
      <c r="G94" s="47">
        <f>IF(AND(D94&lt;&gt;"",E94&lt;&gt;"",D94&lt;&gt;E94),"GÜNCELLENDİ","")</f>
        <v/>
      </c>
      <c r="H94" s="48" t="inlineStr"/>
    </row>
    <row r="95">
      <c r="A95" s="47" t="inlineStr">
        <is>
          <t>59APT129</t>
        </is>
      </c>
      <c r="B95" s="47" t="inlineStr">
        <is>
          <t>NL1CFB0P40G114178</t>
        </is>
      </c>
      <c r="C95" s="47" t="inlineStr">
        <is>
          <t>Teslimat Sürecinde</t>
        </is>
      </c>
      <c r="D95" s="47" t="inlineStr">
        <is>
          <t>21.09.2026 teslim edilecek.</t>
        </is>
      </c>
      <c r="E95" s="47" t="inlineStr">
        <is>
          <t>21.09.2026 teslim edilecek.</t>
        </is>
      </c>
      <c r="F95" s="47">
        <f>IF(D95="","",IF(OR(ISNUMBER(SEARCH("PARÇA DEĞİŞ",D95)),ISNUMBER(SEARCH("PARCA DEGIS",D95)),ISNUMBER(SEARCH("DEĞİŞECEK",D95)),ISNUMBER(SEARCH("DEGISECEK",D95)),ISNUMBER(SEARCH("DEĞİŞİM",D95)),ISNUMBER(SEARCH("DEGISIM",D95))),"PARÇA DEĞİŞİMİ",""))</f>
        <v/>
      </c>
      <c r="G95" s="47">
        <f>IF(AND(D95&lt;&gt;"",E95&lt;&gt;"",D95&lt;&gt;E95),"GÜNCELLENDİ","")</f>
        <v/>
      </c>
      <c r="H95" s="48" t="inlineStr"/>
    </row>
    <row r="96">
      <c r="A96" s="47" t="inlineStr">
        <is>
          <t>59AOC500</t>
        </is>
      </c>
      <c r="B96" s="47" t="inlineStr">
        <is>
          <t>NL1CFB0P40G079612</t>
        </is>
      </c>
      <c r="C96" s="47" t="inlineStr">
        <is>
          <t>Teslimat Sürecinde</t>
        </is>
      </c>
      <c r="D96" s="47" t="inlineStr">
        <is>
          <t>19.09.2026 teslim edildi.</t>
        </is>
      </c>
      <c r="E96" s="47" t="inlineStr">
        <is>
          <t>19.09.2026 teslim edildi.</t>
        </is>
      </c>
      <c r="F96" s="47">
        <f>IF(D96="","",IF(OR(ISNUMBER(SEARCH("PARÇA DEĞİŞ",D96)),ISNUMBER(SEARCH("PARCA DEGIS",D96)),ISNUMBER(SEARCH("DEĞİŞECEK",D96)),ISNUMBER(SEARCH("DEGISECEK",D96)),ISNUMBER(SEARCH("DEĞİŞİM",D96)),ISNUMBER(SEARCH("DEGISIM",D96))),"PARÇA DEĞİŞİMİ",""))</f>
        <v/>
      </c>
      <c r="G96" s="47">
        <f>IF(AND(D96&lt;&gt;"",E96&lt;&gt;"",D96&lt;&gt;E96),"GÜNCELLENDİ","")</f>
        <v/>
      </c>
      <c r="H96" s="48" t="inlineStr"/>
    </row>
    <row r="97">
      <c r="A97" s="47" t="inlineStr">
        <is>
          <t>59AON650</t>
        </is>
      </c>
      <c r="B97" s="47" t="inlineStr">
        <is>
          <t>NL1CFB0B30G090721</t>
        </is>
      </c>
      <c r="C97" s="47" t="inlineStr">
        <is>
          <t>Teslimat Sürecinde</t>
        </is>
      </c>
      <c r="D97" s="47" t="inlineStr">
        <is>
          <t>Klima arızası mevcut. 22.09.2026 teslim</t>
        </is>
      </c>
      <c r="E97" s="47" t="inlineStr">
        <is>
          <t>Klima arızası mevcut. 22.09.2026 teslim</t>
        </is>
      </c>
      <c r="F97" s="47">
        <f>IF(D97="","",IF(OR(ISNUMBER(SEARCH("PARÇA DEĞİŞ",D97)),ISNUMBER(SEARCH("PARCA DEGIS",D97)),ISNUMBER(SEARCH("DEĞİŞECEK",D97)),ISNUMBER(SEARCH("DEGISECEK",D97)),ISNUMBER(SEARCH("DEĞİŞİM",D97)),ISNUMBER(SEARCH("DEGISIM",D97))),"PARÇA DEĞİŞİMİ",""))</f>
        <v/>
      </c>
      <c r="G97" s="47">
        <f>IF(AND(D97&lt;&gt;"",E97&lt;&gt;"",D97&lt;&gt;E97),"GÜNCELLENDİ","")</f>
        <v/>
      </c>
      <c r="H97" s="48" t="inlineStr"/>
    </row>
    <row r="98">
      <c r="A98" s="47" t="inlineStr">
        <is>
          <t>34NZJ095</t>
        </is>
      </c>
      <c r="B98" s="47" t="inlineStr">
        <is>
          <t>NL1CFB0P30G078953</t>
        </is>
      </c>
      <c r="C98" s="47" t="inlineStr">
        <is>
          <t>Teslimat Sürecinde</t>
        </is>
      </c>
      <c r="D98" s="47" t="inlineStr">
        <is>
          <t>İşlemleri devam ediyor. 22.09.2026 teslim edilecek.</t>
        </is>
      </c>
      <c r="E98" s="47" t="inlineStr">
        <is>
          <t>İşlemleri devam ediyor. 22.09.2026 teslim edilecek.</t>
        </is>
      </c>
      <c r="F98" s="47">
        <f>IF(D98="","",IF(OR(ISNUMBER(SEARCH("PARÇA DEĞİŞ",D98)),ISNUMBER(SEARCH("PARCA DEGIS",D98)),ISNUMBER(SEARCH("DEĞİŞECEK",D98)),ISNUMBER(SEARCH("DEGISECEK",D98)),ISNUMBER(SEARCH("DEĞİŞİM",D98)),ISNUMBER(SEARCH("DEGISIM",D98))),"PARÇA DEĞİŞİMİ",""))</f>
        <v/>
      </c>
      <c r="G98" s="47">
        <f>IF(AND(D98&lt;&gt;"",E98&lt;&gt;"",D98&lt;&gt;E98),"GÜNCELLENDİ","")</f>
        <v/>
      </c>
      <c r="H98" s="48" t="inlineStr"/>
    </row>
    <row r="99">
      <c r="A99" s="47" t="inlineStr">
        <is>
          <t>34PAP358</t>
        </is>
      </c>
      <c r="B99" s="47" t="inlineStr">
        <is>
          <t>NL1CSU0P00G076598</t>
        </is>
      </c>
      <c r="C99" s="47" t="inlineStr">
        <is>
          <t>Teslimat Sürecinde</t>
        </is>
      </c>
      <c r="D99" s="47" t="inlineStr">
        <is>
          <t>19.09.2026 teslim edildi.</t>
        </is>
      </c>
      <c r="E99" s="47" t="inlineStr">
        <is>
          <t>19.09.2026 teslim edildi.</t>
        </is>
      </c>
      <c r="F99" s="47">
        <f>IF(D99="","",IF(OR(ISNUMBER(SEARCH("PARÇA DEĞİŞ",D99)),ISNUMBER(SEARCH("PARCA DEGIS",D99)),ISNUMBER(SEARCH("DEĞİŞECEK",D99)),ISNUMBER(SEARCH("DEGISECEK",D99)),ISNUMBER(SEARCH("DEĞİŞİM",D99)),ISNUMBER(SEARCH("DEGISIM",D99))),"PARÇA DEĞİŞİMİ",""))</f>
        <v/>
      </c>
      <c r="G99" s="47">
        <f>IF(AND(D99&lt;&gt;"",E99&lt;&gt;"",D99&lt;&gt;E99),"GÜNCELLENDİ","")</f>
        <v/>
      </c>
      <c r="H99" s="48" t="inlineStr"/>
    </row>
    <row r="100">
      <c r="A100" s="47" t="n"/>
      <c r="B100" s="47" t="n"/>
      <c r="C100" s="47" t="n"/>
      <c r="D100" s="47" t="n"/>
      <c r="E100" s="47" t="n"/>
      <c r="F100" s="47">
        <f>IF(D100="","",IF(OR(ISNUMBER(SEARCH("PARÇA DEĞİŞ",D100)),ISNUMBER(SEARCH("PARCA DEGIS",D100)),ISNUMBER(SEARCH("DEĞİŞECEK",D100)),ISNUMBER(SEARCH("DEGISECEK",D100)),ISNUMBER(SEARCH("DEĞİŞİM",D100)),ISNUMBER(SEARCH("DEGISIM",D100))),"PARÇA DEĞİŞİMİ",""))</f>
        <v/>
      </c>
      <c r="G100" s="47">
        <f>IF(AND(D100&lt;&gt;"",E100&lt;&gt;"",D100&lt;&gt;E100),"GÜNCELLENDİ","")</f>
        <v/>
      </c>
      <c r="H100" s="48" t="n"/>
    </row>
    <row r="101">
      <c r="A101" s="47" t="n"/>
      <c r="B101" s="47" t="n"/>
      <c r="C101" s="47" t="n"/>
      <c r="D101" s="47" t="n"/>
      <c r="E101" s="47" t="n"/>
      <c r="F101" s="47">
        <f>IF(D101="","",IF(OR(ISNUMBER(SEARCH("PARÇA DEĞİŞ",D101)),ISNUMBER(SEARCH("PARCA DEGIS",D101)),ISNUMBER(SEARCH("DEĞİŞECEK",D101)),ISNUMBER(SEARCH("DEGISECEK",D101)),ISNUMBER(SEARCH("DEĞİŞİM",D101)),ISNUMBER(SEARCH("DEGISIM",D101))),"PARÇA DEĞİŞİMİ",""))</f>
        <v/>
      </c>
      <c r="G101" s="47">
        <f>IF(AND(D101&lt;&gt;"",E101&lt;&gt;"",D101&lt;&gt;E101),"GÜNCELLENDİ","")</f>
        <v/>
      </c>
      <c r="H101" s="48" t="n"/>
    </row>
    <row r="102">
      <c r="A102" s="47" t="n"/>
      <c r="B102" s="47" t="n"/>
      <c r="C102" s="47" t="n"/>
      <c r="D102" s="47" t="n"/>
      <c r="E102" s="47" t="n"/>
      <c r="F102" s="47">
        <f>IF(D102="","",IF(OR(ISNUMBER(SEARCH("PARÇA DEĞİŞ",D102)),ISNUMBER(SEARCH("PARCA DEGIS",D102)),ISNUMBER(SEARCH("DEĞİŞECEK",D102)),ISNUMBER(SEARCH("DEGISECEK",D102)),ISNUMBER(SEARCH("DEĞİŞİM",D102)),ISNUMBER(SEARCH("DEGISIM",D102))),"PARÇA DEĞİŞİMİ",""))</f>
        <v/>
      </c>
      <c r="G102" s="47">
        <f>IF(AND(D102&lt;&gt;"",E102&lt;&gt;"",D102&lt;&gt;E102),"GÜNCELLENDİ","")</f>
        <v/>
      </c>
      <c r="H102" s="48" t="n"/>
    </row>
    <row r="103">
      <c r="A103" s="47" t="n"/>
      <c r="B103" s="47" t="n"/>
      <c r="C103" s="47" t="n"/>
      <c r="D103" s="47" t="n"/>
      <c r="E103" s="47" t="n"/>
      <c r="F103" s="47">
        <f>IF(D103="","",IF(OR(ISNUMBER(SEARCH("PARÇA DEĞİŞ",D103)),ISNUMBER(SEARCH("PARCA DEGIS",D103)),ISNUMBER(SEARCH("DEĞİŞECEK",D103)),ISNUMBER(SEARCH("DEGISECEK",D103)),ISNUMBER(SEARCH("DEĞİŞİM",D103)),ISNUMBER(SEARCH("DEGISIM",D103))),"PARÇA DEĞİŞİMİ",""))</f>
        <v/>
      </c>
      <c r="G103" s="47">
        <f>IF(AND(D103&lt;&gt;"",E103&lt;&gt;"",D103&lt;&gt;E103),"GÜNCELLENDİ","")</f>
        <v/>
      </c>
      <c r="H103" s="48" t="n"/>
    </row>
    <row r="104">
      <c r="A104" s="47" t="n"/>
      <c r="B104" s="47" t="n"/>
      <c r="C104" s="47" t="n"/>
      <c r="D104" s="47" t="n"/>
      <c r="E104" s="47" t="n"/>
      <c r="F104" s="47">
        <f>IF(D104="","",IF(OR(ISNUMBER(SEARCH("PARÇA DEĞİŞ",D104)),ISNUMBER(SEARCH("PARCA DEGIS",D104)),ISNUMBER(SEARCH("DEĞİŞECEK",D104)),ISNUMBER(SEARCH("DEGISECEK",D104)),ISNUMBER(SEARCH("DEĞİŞİM",D104)),ISNUMBER(SEARCH("DEGISIM",D104))),"PARÇA DEĞİŞİMİ",""))</f>
        <v/>
      </c>
      <c r="G104" s="47">
        <f>IF(AND(D104&lt;&gt;"",E104&lt;&gt;"",D104&lt;&gt;E104),"GÜNCELLENDİ","")</f>
        <v/>
      </c>
      <c r="H104" s="48" t="n"/>
    </row>
    <row r="105">
      <c r="A105" s="47" t="n"/>
      <c r="B105" s="47" t="n"/>
      <c r="C105" s="47" t="n"/>
      <c r="D105" s="47" t="n"/>
      <c r="E105" s="47" t="n"/>
      <c r="F105" s="47">
        <f>IF(D105="","",IF(OR(ISNUMBER(SEARCH("PARÇA DEĞİŞ",D105)),ISNUMBER(SEARCH("PARCA DEGIS",D105)),ISNUMBER(SEARCH("DEĞİŞECEK",D105)),ISNUMBER(SEARCH("DEGISECEK",D105)),ISNUMBER(SEARCH("DEĞİŞİM",D105)),ISNUMBER(SEARCH("DEGISIM",D105))),"PARÇA DEĞİŞİMİ",""))</f>
        <v/>
      </c>
      <c r="G105" s="47">
        <f>IF(AND(D105&lt;&gt;"",E105&lt;&gt;"",D105&lt;&gt;E105),"GÜNCELLENDİ","")</f>
        <v/>
      </c>
      <c r="H105" s="48" t="n"/>
    </row>
    <row r="106">
      <c r="A106" s="47" t="n"/>
      <c r="B106" s="47" t="n"/>
      <c r="C106" s="47" t="n"/>
      <c r="D106" s="47" t="n"/>
      <c r="E106" s="47" t="n"/>
      <c r="F106" s="47">
        <f>IF(D106="","",IF(OR(ISNUMBER(SEARCH("PARÇA DEĞİŞ",D106)),ISNUMBER(SEARCH("PARCA DEGIS",D106)),ISNUMBER(SEARCH("DEĞİŞECEK",D106)),ISNUMBER(SEARCH("DEGISECEK",D106)),ISNUMBER(SEARCH("DEĞİŞİM",D106)),ISNUMBER(SEARCH("DEGISIM",D106))),"PARÇA DEĞİŞİMİ",""))</f>
        <v/>
      </c>
      <c r="G106" s="47">
        <f>IF(AND(D106&lt;&gt;"",E106&lt;&gt;"",D106&lt;&gt;E106),"GÜNCELLENDİ","")</f>
        <v/>
      </c>
      <c r="H106" s="48" t="n"/>
    </row>
    <row r="107">
      <c r="A107" s="47" t="n"/>
      <c r="B107" s="47" t="n"/>
      <c r="C107" s="47" t="n"/>
      <c r="D107" s="47" t="n"/>
      <c r="E107" s="47" t="n"/>
      <c r="F107" s="47">
        <f>IF(D107="","",IF(OR(ISNUMBER(SEARCH("PARÇA DEĞİŞ",D107)),ISNUMBER(SEARCH("PARCA DEGIS",D107)),ISNUMBER(SEARCH("DEĞİŞECEK",D107)),ISNUMBER(SEARCH("DEGISECEK",D107)),ISNUMBER(SEARCH("DEĞİŞİM",D107)),ISNUMBER(SEARCH("DEGISIM",D107))),"PARÇA DEĞİŞİMİ",""))</f>
        <v/>
      </c>
      <c r="G107" s="47">
        <f>IF(AND(D107&lt;&gt;"",E107&lt;&gt;"",D107&lt;&gt;E107),"GÜNCELLENDİ","")</f>
        <v/>
      </c>
      <c r="H107" s="48" t="n"/>
    </row>
    <row r="108">
      <c r="A108" s="47" t="n"/>
      <c r="B108" s="47" t="n"/>
      <c r="C108" s="47" t="n"/>
      <c r="D108" s="47" t="n"/>
      <c r="E108" s="47" t="n"/>
      <c r="F108" s="47">
        <f>IF(D108="","",IF(OR(ISNUMBER(SEARCH("PARÇA DEĞİŞ",D108)),ISNUMBER(SEARCH("PARCA DEGIS",D108)),ISNUMBER(SEARCH("DEĞİŞECEK",D108)),ISNUMBER(SEARCH("DEGISECEK",D108)),ISNUMBER(SEARCH("DEĞİŞİM",D108)),ISNUMBER(SEARCH("DEGISIM",D108))),"PARÇA DEĞİŞİMİ",""))</f>
        <v/>
      </c>
      <c r="G108" s="47">
        <f>IF(AND(D108&lt;&gt;"",E108&lt;&gt;"",D108&lt;&gt;E108),"GÜNCELLENDİ","")</f>
        <v/>
      </c>
      <c r="H108" s="48" t="n"/>
    </row>
    <row r="109">
      <c r="A109" s="47" t="n"/>
      <c r="B109" s="47" t="n"/>
      <c r="C109" s="47" t="n"/>
      <c r="D109" s="47" t="n"/>
      <c r="E109" s="47" t="n"/>
      <c r="F109" s="47">
        <f>IF(D109="","",IF(OR(ISNUMBER(SEARCH("PARÇA DEĞİŞ",D109)),ISNUMBER(SEARCH("PARCA DEGIS",D109)),ISNUMBER(SEARCH("DEĞİŞECEK",D109)),ISNUMBER(SEARCH("DEGISECEK",D109)),ISNUMBER(SEARCH("DEĞİŞİM",D109)),ISNUMBER(SEARCH("DEGISIM",D109))),"PARÇA DEĞİŞİMİ",""))</f>
        <v/>
      </c>
      <c r="G109" s="47">
        <f>IF(AND(D109&lt;&gt;"",E109&lt;&gt;"",D109&lt;&gt;E109),"GÜNCELLENDİ","")</f>
        <v/>
      </c>
      <c r="H109" s="48" t="n"/>
    </row>
    <row r="110">
      <c r="A110" s="47" t="n"/>
      <c r="B110" s="47" t="n"/>
      <c r="C110" s="47" t="n"/>
      <c r="D110" s="47" t="n"/>
      <c r="E110" s="47" t="n"/>
      <c r="F110" s="47">
        <f>IF(D110="","",IF(OR(ISNUMBER(SEARCH("PARÇA DEĞİŞ",D110)),ISNUMBER(SEARCH("PARCA DEGIS",D110)),ISNUMBER(SEARCH("DEĞİŞECEK",D110)),ISNUMBER(SEARCH("DEGISECEK",D110)),ISNUMBER(SEARCH("DEĞİŞİM",D110)),ISNUMBER(SEARCH("DEGISIM",D110))),"PARÇA DEĞİŞİMİ",""))</f>
        <v/>
      </c>
      <c r="G110" s="47">
        <f>IF(AND(D110&lt;&gt;"",E110&lt;&gt;"",D110&lt;&gt;E110),"GÜNCELLENDİ","")</f>
        <v/>
      </c>
      <c r="H110" s="48" t="n"/>
    </row>
    <row r="111">
      <c r="A111" s="47" t="n"/>
      <c r="B111" s="47" t="n"/>
      <c r="C111" s="47" t="n"/>
      <c r="D111" s="47" t="n"/>
      <c r="E111" s="47" t="n"/>
      <c r="F111" s="47">
        <f>IF(D111="","",IF(OR(ISNUMBER(SEARCH("PARÇA DEĞİŞ",D111)),ISNUMBER(SEARCH("PARCA DEGIS",D111)),ISNUMBER(SEARCH("DEĞİŞECEK",D111)),ISNUMBER(SEARCH("DEGISECEK",D111)),ISNUMBER(SEARCH("DEĞİŞİM",D111)),ISNUMBER(SEARCH("DEGISIM",D111))),"PARÇA DEĞİŞİMİ",""))</f>
        <v/>
      </c>
      <c r="G111" s="47">
        <f>IF(AND(D111&lt;&gt;"",E111&lt;&gt;"",D111&lt;&gt;E111),"GÜNCELLENDİ","")</f>
        <v/>
      </c>
      <c r="H111" s="48" t="n"/>
    </row>
    <row r="112">
      <c r="A112" s="47" t="n"/>
      <c r="B112" s="47" t="n"/>
      <c r="C112" s="47" t="n"/>
      <c r="D112" s="47" t="n"/>
      <c r="E112" s="47" t="n"/>
      <c r="F112" s="47">
        <f>IF(D112="","",IF(OR(ISNUMBER(SEARCH("PARÇA DEĞİŞ",D112)),ISNUMBER(SEARCH("PARCA DEGIS",D112)),ISNUMBER(SEARCH("DEĞİŞECEK",D112)),ISNUMBER(SEARCH("DEGISECEK",D112)),ISNUMBER(SEARCH("DEĞİŞİM",D112)),ISNUMBER(SEARCH("DEGISIM",D112))),"PARÇA DEĞİŞİMİ",""))</f>
        <v/>
      </c>
      <c r="G112" s="47">
        <f>IF(AND(D112&lt;&gt;"",E112&lt;&gt;"",D112&lt;&gt;E112),"GÜNCELLENDİ","")</f>
        <v/>
      </c>
      <c r="H112" s="48" t="n"/>
    </row>
    <row r="113">
      <c r="A113" s="47" t="n"/>
      <c r="B113" s="47" t="n"/>
      <c r="C113" s="47" t="n"/>
      <c r="D113" s="47" t="n"/>
      <c r="E113" s="47" t="n"/>
      <c r="F113" s="47">
        <f>IF(D113="","",IF(OR(ISNUMBER(SEARCH("PARÇA DEĞİŞ",D113)),ISNUMBER(SEARCH("PARCA DEGIS",D113)),ISNUMBER(SEARCH("DEĞİŞECEK",D113)),ISNUMBER(SEARCH("DEGISECEK",D113)),ISNUMBER(SEARCH("DEĞİŞİM",D113)),ISNUMBER(SEARCH("DEGISIM",D113))),"PARÇA DEĞİŞİMİ",""))</f>
        <v/>
      </c>
      <c r="G113" s="47">
        <f>IF(AND(D113&lt;&gt;"",E113&lt;&gt;"",D113&lt;&gt;E113),"GÜNCELLENDİ","")</f>
        <v/>
      </c>
      <c r="H113" s="48" t="n"/>
    </row>
    <row r="114">
      <c r="A114" s="47" t="n"/>
      <c r="B114" s="47" t="n"/>
      <c r="C114" s="47" t="n"/>
      <c r="D114" s="47" t="n"/>
      <c r="E114" s="47" t="n"/>
      <c r="F114" s="47">
        <f>IF(D114="","",IF(OR(ISNUMBER(SEARCH("PARÇA DEĞİŞ",D114)),ISNUMBER(SEARCH("PARCA DEGIS",D114)),ISNUMBER(SEARCH("DEĞİŞECEK",D114)),ISNUMBER(SEARCH("DEGISECEK",D114)),ISNUMBER(SEARCH("DEĞİŞİM",D114)),ISNUMBER(SEARCH("DEGISIM",D114))),"PARÇA DEĞİŞİMİ",""))</f>
        <v/>
      </c>
      <c r="G114" s="47">
        <f>IF(AND(D114&lt;&gt;"",E114&lt;&gt;"",D114&lt;&gt;E114),"GÜNCELLENDİ","")</f>
        <v/>
      </c>
      <c r="H114" s="48" t="n"/>
    </row>
    <row r="115">
      <c r="A115" s="47" t="n"/>
      <c r="B115" s="47" t="n"/>
      <c r="C115" s="47" t="n"/>
      <c r="D115" s="47" t="n"/>
      <c r="E115" s="47" t="n"/>
      <c r="F115" s="47">
        <f>IF(D115="","",IF(OR(ISNUMBER(SEARCH("PARÇA DEĞİŞ",D115)),ISNUMBER(SEARCH("PARCA DEGIS",D115)),ISNUMBER(SEARCH("DEĞİŞECEK",D115)),ISNUMBER(SEARCH("DEGISECEK",D115)),ISNUMBER(SEARCH("DEĞİŞİM",D115)),ISNUMBER(SEARCH("DEGISIM",D115))),"PARÇA DEĞİŞİMİ",""))</f>
        <v/>
      </c>
      <c r="G115" s="47">
        <f>IF(AND(D115&lt;&gt;"",E115&lt;&gt;"",D115&lt;&gt;E115),"GÜNCELLENDİ","")</f>
        <v/>
      </c>
      <c r="H115" s="48" t="n"/>
    </row>
    <row r="116">
      <c r="A116" s="47" t="n"/>
      <c r="B116" s="47" t="n"/>
      <c r="C116" s="47" t="n"/>
      <c r="D116" s="47" t="n"/>
      <c r="E116" s="47" t="n"/>
      <c r="F116" s="47">
        <f>IF(D116="","",IF(OR(ISNUMBER(SEARCH("PARÇA DEĞİŞ",D116)),ISNUMBER(SEARCH("PARCA DEGIS",D116)),ISNUMBER(SEARCH("DEĞİŞECEK",D116)),ISNUMBER(SEARCH("DEGISECEK",D116)),ISNUMBER(SEARCH("DEĞİŞİM",D116)),ISNUMBER(SEARCH("DEGISIM",D116))),"PARÇA DEĞİŞİMİ",""))</f>
        <v/>
      </c>
      <c r="G116" s="47">
        <f>IF(AND(D116&lt;&gt;"",E116&lt;&gt;"",D116&lt;&gt;E116),"GÜNCELLENDİ","")</f>
        <v/>
      </c>
      <c r="H116" s="48" t="n"/>
    </row>
    <row r="117">
      <c r="A117" s="47" t="n"/>
      <c r="B117" s="47" t="n"/>
      <c r="C117" s="47" t="n"/>
      <c r="D117" s="47" t="n"/>
      <c r="E117" s="47" t="n"/>
      <c r="F117" s="47">
        <f>IF(D117="","",IF(OR(ISNUMBER(SEARCH("PARÇA DEĞİŞ",D117)),ISNUMBER(SEARCH("PARCA DEGIS",D117)),ISNUMBER(SEARCH("DEĞİŞECEK",D117)),ISNUMBER(SEARCH("DEGISECEK",D117)),ISNUMBER(SEARCH("DEĞİŞİM",D117)),ISNUMBER(SEARCH("DEGISIM",D117))),"PARÇA DEĞİŞİMİ",""))</f>
        <v/>
      </c>
      <c r="G117" s="47">
        <f>IF(AND(D117&lt;&gt;"",E117&lt;&gt;"",D117&lt;&gt;E117),"GÜNCELLENDİ","")</f>
        <v/>
      </c>
      <c r="H117" s="48" t="n"/>
    </row>
    <row r="118">
      <c r="A118" s="47" t="n"/>
      <c r="B118" s="47" t="n"/>
      <c r="C118" s="47" t="n"/>
      <c r="D118" s="47" t="n"/>
      <c r="E118" s="47" t="n"/>
      <c r="F118" s="47">
        <f>IF(D118="","",IF(OR(ISNUMBER(SEARCH("PARÇA DEĞİŞ",D118)),ISNUMBER(SEARCH("PARCA DEGIS",D118)),ISNUMBER(SEARCH("DEĞİŞECEK",D118)),ISNUMBER(SEARCH("DEGISECEK",D118)),ISNUMBER(SEARCH("DEĞİŞİM",D118)),ISNUMBER(SEARCH("DEGISIM",D118))),"PARÇA DEĞİŞİMİ",""))</f>
        <v/>
      </c>
      <c r="G118" s="47">
        <f>IF(AND(D118&lt;&gt;"",E118&lt;&gt;"",D118&lt;&gt;E118),"GÜNCELLENDİ","")</f>
        <v/>
      </c>
      <c r="H118" s="48" t="n"/>
    </row>
    <row r="119">
      <c r="A119" s="47" t="n"/>
      <c r="B119" s="47" t="n"/>
      <c r="C119" s="47" t="n"/>
      <c r="D119" s="47" t="n"/>
      <c r="E119" s="47" t="n"/>
      <c r="F119" s="47">
        <f>IF(D119="","",IF(OR(ISNUMBER(SEARCH("PARÇA DEĞİŞ",D119)),ISNUMBER(SEARCH("PARCA DEGIS",D119)),ISNUMBER(SEARCH("DEĞİŞECEK",D119)),ISNUMBER(SEARCH("DEGISECEK",D119)),ISNUMBER(SEARCH("DEĞİŞİM",D119)),ISNUMBER(SEARCH("DEGISIM",D119))),"PARÇA DEĞİŞİMİ",""))</f>
        <v/>
      </c>
      <c r="G119" s="47">
        <f>IF(AND(D119&lt;&gt;"",E119&lt;&gt;"",D119&lt;&gt;E119),"GÜNCELLENDİ","")</f>
        <v/>
      </c>
      <c r="H119" s="48" t="n"/>
    </row>
    <row r="120">
      <c r="A120" s="47" t="n"/>
      <c r="B120" s="47" t="n"/>
      <c r="C120" s="47" t="n"/>
      <c r="D120" s="47" t="n"/>
      <c r="E120" s="47" t="n"/>
      <c r="F120" s="47">
        <f>IF(D120="","",IF(OR(ISNUMBER(SEARCH("PARÇA DEĞİŞ",D120)),ISNUMBER(SEARCH("PARCA DEGIS",D120)),ISNUMBER(SEARCH("DEĞİŞECEK",D120)),ISNUMBER(SEARCH("DEGISECEK",D120)),ISNUMBER(SEARCH("DEĞİŞİM",D120)),ISNUMBER(SEARCH("DEGISIM",D120))),"PARÇA DEĞİŞİMİ",""))</f>
        <v/>
      </c>
      <c r="G120" s="47">
        <f>IF(AND(D120&lt;&gt;"",E120&lt;&gt;"",D120&lt;&gt;E120),"GÜNCELLENDİ","")</f>
        <v/>
      </c>
      <c r="H120" s="48" t="n"/>
    </row>
    <row r="121">
      <c r="A121" s="47" t="n"/>
      <c r="B121" s="47" t="n"/>
      <c r="C121" s="47" t="n"/>
      <c r="D121" s="47" t="n"/>
      <c r="E121" s="47" t="n"/>
      <c r="F121" s="47">
        <f>IF(D121="","",IF(OR(ISNUMBER(SEARCH("PARÇA DEĞİŞ",D121)),ISNUMBER(SEARCH("PARCA DEGIS",D121)),ISNUMBER(SEARCH("DEĞİŞECEK",D121)),ISNUMBER(SEARCH("DEGISECEK",D121)),ISNUMBER(SEARCH("DEĞİŞİM",D121)),ISNUMBER(SEARCH("DEGISIM",D121))),"PARÇA DEĞİŞİMİ",""))</f>
        <v/>
      </c>
      <c r="G121" s="47">
        <f>IF(AND(D121&lt;&gt;"",E121&lt;&gt;"",D121&lt;&gt;E121),"GÜNCELLENDİ","")</f>
        <v/>
      </c>
      <c r="H121" s="48" t="n"/>
    </row>
    <row r="122">
      <c r="A122" s="47" t="n"/>
      <c r="B122" s="47" t="n"/>
      <c r="C122" s="47" t="n"/>
      <c r="D122" s="47" t="n"/>
      <c r="E122" s="47" t="n"/>
      <c r="F122" s="47">
        <f>IF(D122="","",IF(OR(ISNUMBER(SEARCH("PARÇA DEĞİŞ",D122)),ISNUMBER(SEARCH("PARCA DEGIS",D122)),ISNUMBER(SEARCH("DEĞİŞECEK",D122)),ISNUMBER(SEARCH("DEGISECEK",D122)),ISNUMBER(SEARCH("DEĞİŞİM",D122)),ISNUMBER(SEARCH("DEGISIM",D122))),"PARÇA DEĞİŞİMİ",""))</f>
        <v/>
      </c>
      <c r="G122" s="47">
        <f>IF(AND(D122&lt;&gt;"",E122&lt;&gt;"",D122&lt;&gt;E122),"GÜNCELLENDİ","")</f>
        <v/>
      </c>
      <c r="H122" s="48" t="n"/>
    </row>
    <row r="123">
      <c r="A123" s="47" t="n"/>
      <c r="B123" s="47" t="n"/>
      <c r="C123" s="47" t="n"/>
      <c r="D123" s="47" t="n"/>
      <c r="E123" s="47" t="n"/>
      <c r="F123" s="47">
        <f>IF(D123="","",IF(OR(ISNUMBER(SEARCH("PARÇA DEĞİŞ",D123)),ISNUMBER(SEARCH("PARCA DEGIS",D123)),ISNUMBER(SEARCH("DEĞİŞECEK",D123)),ISNUMBER(SEARCH("DEGISECEK",D123)),ISNUMBER(SEARCH("DEĞİŞİM",D123)),ISNUMBER(SEARCH("DEGISIM",D123))),"PARÇA DEĞİŞİMİ",""))</f>
        <v/>
      </c>
      <c r="G123" s="47">
        <f>IF(AND(D123&lt;&gt;"",E123&lt;&gt;"",D123&lt;&gt;E123),"GÜNCELLENDİ","")</f>
        <v/>
      </c>
      <c r="H123" s="48" t="n"/>
    </row>
    <row r="124">
      <c r="A124" s="47" t="n"/>
      <c r="B124" s="47" t="n"/>
      <c r="C124" s="47" t="n"/>
      <c r="D124" s="47" t="n"/>
      <c r="E124" s="47" t="n"/>
      <c r="F124" s="47">
        <f>IF(D124="","",IF(OR(ISNUMBER(SEARCH("PARÇA DEĞİŞ",D124)),ISNUMBER(SEARCH("PARCA DEGIS",D124)),ISNUMBER(SEARCH("DEĞİŞECEK",D124)),ISNUMBER(SEARCH("DEGISECEK",D124)),ISNUMBER(SEARCH("DEĞİŞİM",D124)),ISNUMBER(SEARCH("DEGISIM",D124))),"PARÇA DEĞİŞİMİ",""))</f>
        <v/>
      </c>
      <c r="G124" s="47">
        <f>IF(AND(D124&lt;&gt;"",E124&lt;&gt;"",D124&lt;&gt;E124),"GÜNCELLENDİ","")</f>
        <v/>
      </c>
      <c r="H124" s="48" t="n"/>
    </row>
    <row r="125">
      <c r="A125" s="47" t="n"/>
      <c r="B125" s="47" t="n"/>
      <c r="C125" s="47" t="n"/>
      <c r="D125" s="47" t="n"/>
      <c r="E125" s="47" t="n"/>
      <c r="F125" s="47">
        <f>IF(D125="","",IF(OR(ISNUMBER(SEARCH("PARÇA DEĞİŞ",D125)),ISNUMBER(SEARCH("PARCA DEGIS",D125)),ISNUMBER(SEARCH("DEĞİŞECEK",D125)),ISNUMBER(SEARCH("DEGISECEK",D125)),ISNUMBER(SEARCH("DEĞİŞİM",D125)),ISNUMBER(SEARCH("DEGISIM",D125))),"PARÇA DEĞİŞİMİ",""))</f>
        <v/>
      </c>
      <c r="G125" s="47">
        <f>IF(AND(D125&lt;&gt;"",E125&lt;&gt;"",D125&lt;&gt;E125),"GÜNCELLENDİ","")</f>
        <v/>
      </c>
      <c r="H125" s="48" t="n"/>
    </row>
    <row r="126">
      <c r="A126" s="47" t="n"/>
      <c r="B126" s="47" t="n"/>
      <c r="C126" s="47" t="n"/>
      <c r="D126" s="47" t="n"/>
      <c r="E126" s="47" t="n"/>
      <c r="F126" s="47">
        <f>IF(D126="","",IF(OR(ISNUMBER(SEARCH("PARÇA DEĞİŞ",D126)),ISNUMBER(SEARCH("PARCA DEGIS",D126)),ISNUMBER(SEARCH("DEĞİŞECEK",D126)),ISNUMBER(SEARCH("DEGISECEK",D126)),ISNUMBER(SEARCH("DEĞİŞİM",D126)),ISNUMBER(SEARCH("DEGISIM",D126))),"PARÇA DEĞİŞİMİ",""))</f>
        <v/>
      </c>
      <c r="G126" s="47">
        <f>IF(AND(D126&lt;&gt;"",E126&lt;&gt;"",D126&lt;&gt;E126),"GÜNCELLENDİ","")</f>
        <v/>
      </c>
      <c r="H126" s="48" t="n"/>
    </row>
    <row r="127">
      <c r="A127" s="47" t="n"/>
      <c r="B127" s="47" t="n"/>
      <c r="C127" s="47" t="n"/>
      <c r="D127" s="47" t="n"/>
      <c r="E127" s="47" t="n"/>
      <c r="F127" s="47">
        <f>IF(D127="","",IF(OR(ISNUMBER(SEARCH("PARÇA DEĞİŞ",D127)),ISNUMBER(SEARCH("PARCA DEGIS",D127)),ISNUMBER(SEARCH("DEĞİŞECEK",D127)),ISNUMBER(SEARCH("DEGISECEK",D127)),ISNUMBER(SEARCH("DEĞİŞİM",D127)),ISNUMBER(SEARCH("DEGISIM",D127))),"PARÇA DEĞİŞİMİ",""))</f>
        <v/>
      </c>
      <c r="G127" s="47">
        <f>IF(AND(D127&lt;&gt;"",E127&lt;&gt;"",D127&lt;&gt;E127),"GÜNCELLENDİ","")</f>
        <v/>
      </c>
      <c r="H127" s="48" t="n"/>
    </row>
    <row r="128">
      <c r="A128" s="47" t="n"/>
      <c r="B128" s="47" t="n"/>
      <c r="C128" s="47" t="n"/>
      <c r="D128" s="47" t="n"/>
      <c r="E128" s="47" t="n"/>
      <c r="F128" s="47">
        <f>IF(D128="","",IF(OR(ISNUMBER(SEARCH("PARÇA DEĞİŞ",D128)),ISNUMBER(SEARCH("PARCA DEGIS",D128)),ISNUMBER(SEARCH("DEĞİŞECEK",D128)),ISNUMBER(SEARCH("DEGISECEK",D128)),ISNUMBER(SEARCH("DEĞİŞİM",D128)),ISNUMBER(SEARCH("DEGISIM",D128))),"PARÇA DEĞİŞİMİ",""))</f>
        <v/>
      </c>
      <c r="G128" s="47">
        <f>IF(AND(D128&lt;&gt;"",E128&lt;&gt;"",D128&lt;&gt;E128),"GÜNCELLENDİ","")</f>
        <v/>
      </c>
      <c r="H128" s="48" t="n"/>
    </row>
    <row r="129">
      <c r="A129" s="47" t="n"/>
      <c r="B129" s="47" t="n"/>
      <c r="C129" s="47" t="n"/>
      <c r="D129" s="47" t="n"/>
      <c r="E129" s="47" t="n"/>
      <c r="F129" s="47">
        <f>IF(D129="","",IF(OR(ISNUMBER(SEARCH("PARÇA DEĞİŞ",D129)),ISNUMBER(SEARCH("PARCA DEGIS",D129)),ISNUMBER(SEARCH("DEĞİŞECEK",D129)),ISNUMBER(SEARCH("DEGISECEK",D129)),ISNUMBER(SEARCH("DEĞİŞİM",D129)),ISNUMBER(SEARCH("DEGISIM",D129))),"PARÇA DEĞİŞİMİ",""))</f>
        <v/>
      </c>
      <c r="G129" s="47">
        <f>IF(AND(D129&lt;&gt;"",E129&lt;&gt;"",D129&lt;&gt;E129),"GÜNCELLENDİ","")</f>
        <v/>
      </c>
      <c r="H129" s="48" t="n"/>
    </row>
    <row r="130">
      <c r="A130" s="47" t="n"/>
      <c r="B130" s="47" t="n"/>
      <c r="C130" s="47" t="n"/>
      <c r="D130" s="47" t="n"/>
      <c r="E130" s="47" t="n"/>
      <c r="F130" s="47">
        <f>IF(D130="","",IF(OR(ISNUMBER(SEARCH("PARÇA DEĞİŞ",D130)),ISNUMBER(SEARCH("PARCA DEGIS",D130)),ISNUMBER(SEARCH("DEĞİŞECEK",D130)),ISNUMBER(SEARCH("DEGISECEK",D130)),ISNUMBER(SEARCH("DEĞİŞİM",D130)),ISNUMBER(SEARCH("DEGISIM",D130))),"PARÇA DEĞİŞİMİ",""))</f>
        <v/>
      </c>
      <c r="G130" s="47">
        <f>IF(AND(D130&lt;&gt;"",E130&lt;&gt;"",D130&lt;&gt;E130),"GÜNCELLENDİ","")</f>
        <v/>
      </c>
      <c r="H130" s="48" t="n"/>
    </row>
    <row r="131">
      <c r="A131" s="47" t="n"/>
      <c r="B131" s="47" t="n"/>
      <c r="C131" s="47" t="n"/>
      <c r="D131" s="47" t="n"/>
      <c r="E131" s="47" t="n"/>
      <c r="F131" s="47">
        <f>IF(D131="","",IF(OR(ISNUMBER(SEARCH("PARÇA DEĞİŞ",D131)),ISNUMBER(SEARCH("PARCA DEGIS",D131)),ISNUMBER(SEARCH("DEĞİŞECEK",D131)),ISNUMBER(SEARCH("DEGISECEK",D131)),ISNUMBER(SEARCH("DEĞİŞİM",D131)),ISNUMBER(SEARCH("DEGISIM",D131))),"PARÇA DEĞİŞİMİ",""))</f>
        <v/>
      </c>
      <c r="G131" s="47">
        <f>IF(AND(D131&lt;&gt;"",E131&lt;&gt;"",D131&lt;&gt;E131),"GÜNCELLENDİ","")</f>
        <v/>
      </c>
      <c r="H131" s="48" t="n"/>
    </row>
    <row r="132">
      <c r="A132" s="47" t="n"/>
      <c r="B132" s="47" t="n"/>
      <c r="C132" s="47" t="n"/>
      <c r="D132" s="47" t="n"/>
      <c r="E132" s="47" t="n"/>
      <c r="F132" s="47">
        <f>IF(D132="","",IF(OR(ISNUMBER(SEARCH("PARÇA DEĞİŞ",D132)),ISNUMBER(SEARCH("PARCA DEGIS",D132)),ISNUMBER(SEARCH("DEĞİŞECEK",D132)),ISNUMBER(SEARCH("DEGISECEK",D132)),ISNUMBER(SEARCH("DEĞİŞİM",D132)),ISNUMBER(SEARCH("DEGISIM",D132))),"PARÇA DEĞİŞİMİ",""))</f>
        <v/>
      </c>
      <c r="G132" s="47">
        <f>IF(AND(D132&lt;&gt;"",E132&lt;&gt;"",D132&lt;&gt;E132),"GÜNCELLENDİ","")</f>
        <v/>
      </c>
      <c r="H132" s="48" t="n"/>
    </row>
    <row r="133">
      <c r="A133" s="47" t="n"/>
      <c r="B133" s="47" t="n"/>
      <c r="C133" s="47" t="n"/>
      <c r="D133" s="47" t="n"/>
      <c r="E133" s="47" t="n"/>
      <c r="F133" s="47">
        <f>IF(D133="","",IF(OR(ISNUMBER(SEARCH("PARÇA DEĞİŞ",D133)),ISNUMBER(SEARCH("PARCA DEGIS",D133)),ISNUMBER(SEARCH("DEĞİŞECEK",D133)),ISNUMBER(SEARCH("DEGISECEK",D133)),ISNUMBER(SEARCH("DEĞİŞİM",D133)),ISNUMBER(SEARCH("DEGISIM",D133))),"PARÇA DEĞİŞİMİ",""))</f>
        <v/>
      </c>
      <c r="G133" s="47">
        <f>IF(AND(D133&lt;&gt;"",E133&lt;&gt;"",D133&lt;&gt;E133),"GÜNCELLENDİ","")</f>
        <v/>
      </c>
      <c r="H133" s="48" t="n"/>
    </row>
    <row r="134">
      <c r="A134" s="47" t="n"/>
      <c r="B134" s="47" t="n"/>
      <c r="C134" s="47" t="n"/>
      <c r="D134" s="47" t="n"/>
      <c r="E134" s="47" t="n"/>
      <c r="F134" s="47">
        <f>IF(D134="","",IF(OR(ISNUMBER(SEARCH("PARÇA DEĞİŞ",D134)),ISNUMBER(SEARCH("PARCA DEGIS",D134)),ISNUMBER(SEARCH("DEĞİŞECEK",D134)),ISNUMBER(SEARCH("DEGISECEK",D134)),ISNUMBER(SEARCH("DEĞİŞİM",D134)),ISNUMBER(SEARCH("DEGISIM",D134))),"PARÇA DEĞİŞİMİ",""))</f>
        <v/>
      </c>
      <c r="G134" s="47">
        <f>IF(AND(D134&lt;&gt;"",E134&lt;&gt;"",D134&lt;&gt;E134),"GÜNCELLENDİ","")</f>
        <v/>
      </c>
      <c r="H134" s="48" t="n"/>
    </row>
    <row r="135">
      <c r="A135" s="47" t="n"/>
      <c r="B135" s="47" t="n"/>
      <c r="C135" s="47" t="n"/>
      <c r="D135" s="47" t="n"/>
      <c r="E135" s="47" t="n"/>
      <c r="F135" s="47">
        <f>IF(D135="","",IF(OR(ISNUMBER(SEARCH("PARÇA DEĞİŞ",D135)),ISNUMBER(SEARCH("PARCA DEGIS",D135)),ISNUMBER(SEARCH("DEĞİŞECEK",D135)),ISNUMBER(SEARCH("DEGISECEK",D135)),ISNUMBER(SEARCH("DEĞİŞİM",D135)),ISNUMBER(SEARCH("DEGISIM",D135))),"PARÇA DEĞİŞİMİ",""))</f>
        <v/>
      </c>
      <c r="G135" s="47">
        <f>IF(AND(D135&lt;&gt;"",E135&lt;&gt;"",D135&lt;&gt;E135),"GÜNCELLENDİ","")</f>
        <v/>
      </c>
      <c r="H135" s="48" t="n"/>
    </row>
    <row r="136">
      <c r="A136" s="47" t="n"/>
      <c r="B136" s="47" t="n"/>
      <c r="C136" s="47" t="n"/>
      <c r="D136" s="47" t="n"/>
      <c r="E136" s="47" t="n"/>
      <c r="F136" s="47">
        <f>IF(D136="","",IF(OR(ISNUMBER(SEARCH("PARÇA DEĞİŞ",D136)),ISNUMBER(SEARCH("PARCA DEGIS",D136)),ISNUMBER(SEARCH("DEĞİŞECEK",D136)),ISNUMBER(SEARCH("DEGISECEK",D136)),ISNUMBER(SEARCH("DEĞİŞİM",D136)),ISNUMBER(SEARCH("DEGISIM",D136))),"PARÇA DEĞİŞİMİ",""))</f>
        <v/>
      </c>
      <c r="G136" s="47">
        <f>IF(AND(D136&lt;&gt;"",E136&lt;&gt;"",D136&lt;&gt;E136),"GÜNCELLENDİ","")</f>
        <v/>
      </c>
      <c r="H136" s="48" t="n"/>
    </row>
    <row r="137">
      <c r="A137" s="47" t="n"/>
      <c r="B137" s="47" t="n"/>
      <c r="C137" s="47" t="n"/>
      <c r="D137" s="47" t="n"/>
      <c r="E137" s="47" t="n"/>
      <c r="F137" s="47">
        <f>IF(D137="","",IF(OR(ISNUMBER(SEARCH("PARÇA DEĞİŞ",D137)),ISNUMBER(SEARCH("PARCA DEGIS",D137)),ISNUMBER(SEARCH("DEĞİŞECEK",D137)),ISNUMBER(SEARCH("DEGISECEK",D137)),ISNUMBER(SEARCH("DEĞİŞİM",D137)),ISNUMBER(SEARCH("DEGISIM",D137))),"PARÇA DEĞİŞİMİ",""))</f>
        <v/>
      </c>
      <c r="G137" s="47">
        <f>IF(AND(D137&lt;&gt;"",E137&lt;&gt;"",D137&lt;&gt;E137),"GÜNCELLENDİ","")</f>
        <v/>
      </c>
      <c r="H137" s="48" t="n"/>
    </row>
    <row r="138">
      <c r="A138" s="47" t="n"/>
      <c r="B138" s="47" t="n"/>
      <c r="C138" s="47" t="n"/>
      <c r="D138" s="47" t="n"/>
      <c r="E138" s="47" t="n"/>
      <c r="F138" s="47">
        <f>IF(D138="","",IF(OR(ISNUMBER(SEARCH("PARÇA DEĞİŞ",D138)),ISNUMBER(SEARCH("PARCA DEGIS",D138)),ISNUMBER(SEARCH("DEĞİŞECEK",D138)),ISNUMBER(SEARCH("DEGISECEK",D138)),ISNUMBER(SEARCH("DEĞİŞİM",D138)),ISNUMBER(SEARCH("DEGISIM",D138))),"PARÇA DEĞİŞİMİ",""))</f>
        <v/>
      </c>
      <c r="G138" s="47">
        <f>IF(AND(D138&lt;&gt;"",E138&lt;&gt;"",D138&lt;&gt;E138),"GÜNCELLENDİ","")</f>
        <v/>
      </c>
      <c r="H138" s="48" t="n"/>
    </row>
    <row r="139">
      <c r="A139" s="47" t="n"/>
      <c r="B139" s="47" t="n"/>
      <c r="C139" s="47" t="n"/>
      <c r="D139" s="47" t="n"/>
      <c r="E139" s="47" t="n"/>
      <c r="F139" s="47">
        <f>IF(D139="","",IF(OR(ISNUMBER(SEARCH("PARÇA DEĞİŞ",D139)),ISNUMBER(SEARCH("PARCA DEGIS",D139)),ISNUMBER(SEARCH("DEĞİŞECEK",D139)),ISNUMBER(SEARCH("DEGISECEK",D139)),ISNUMBER(SEARCH("DEĞİŞİM",D139)),ISNUMBER(SEARCH("DEGISIM",D139))),"PARÇA DEĞİŞİMİ",""))</f>
        <v/>
      </c>
      <c r="G139" s="47">
        <f>IF(AND(D139&lt;&gt;"",E139&lt;&gt;"",D139&lt;&gt;E139),"GÜNCELLENDİ","")</f>
        <v/>
      </c>
      <c r="H139" s="48" t="n"/>
    </row>
    <row r="140">
      <c r="A140" s="47" t="n"/>
      <c r="B140" s="47" t="n"/>
      <c r="C140" s="47" t="n"/>
      <c r="D140" s="47" t="n"/>
      <c r="E140" s="47" t="n"/>
      <c r="F140" s="47">
        <f>IF(D140="","",IF(OR(ISNUMBER(SEARCH("PARÇA DEĞİŞ",D140)),ISNUMBER(SEARCH("PARCA DEGIS",D140)),ISNUMBER(SEARCH("DEĞİŞECEK",D140)),ISNUMBER(SEARCH("DEGISECEK",D140)),ISNUMBER(SEARCH("DEĞİŞİM",D140)),ISNUMBER(SEARCH("DEGISIM",D140))),"PARÇA DEĞİŞİMİ",""))</f>
        <v/>
      </c>
      <c r="G140" s="47">
        <f>IF(AND(D140&lt;&gt;"",E140&lt;&gt;"",D140&lt;&gt;E140),"GÜNCELLENDİ","")</f>
        <v/>
      </c>
      <c r="H140" s="48" t="n"/>
    </row>
    <row r="141">
      <c r="A141" s="47" t="n"/>
      <c r="B141" s="47" t="n"/>
      <c r="C141" s="47" t="n"/>
      <c r="D141" s="47" t="n"/>
      <c r="E141" s="47" t="n"/>
      <c r="F141" s="47">
        <f>IF(D141="","",IF(OR(ISNUMBER(SEARCH("PARÇA DEĞİŞ",D141)),ISNUMBER(SEARCH("PARCA DEGIS",D141)),ISNUMBER(SEARCH("DEĞİŞECEK",D141)),ISNUMBER(SEARCH("DEGISECEK",D141)),ISNUMBER(SEARCH("DEĞİŞİM",D141)),ISNUMBER(SEARCH("DEGISIM",D141))),"PARÇA DEĞİŞİMİ",""))</f>
        <v/>
      </c>
      <c r="G141" s="47">
        <f>IF(AND(D141&lt;&gt;"",E141&lt;&gt;"",D141&lt;&gt;E141),"GÜNCELLENDİ","")</f>
        <v/>
      </c>
      <c r="H141" s="48" t="n"/>
    </row>
    <row r="142">
      <c r="A142" s="47" t="n"/>
      <c r="B142" s="47" t="n"/>
      <c r="C142" s="47" t="n"/>
      <c r="D142" s="47" t="n"/>
      <c r="E142" s="47" t="n"/>
      <c r="F142" s="47">
        <f>IF(D142="","",IF(OR(ISNUMBER(SEARCH("PARÇA DEĞİŞ",D142)),ISNUMBER(SEARCH("PARCA DEGIS",D142)),ISNUMBER(SEARCH("DEĞİŞECEK",D142)),ISNUMBER(SEARCH("DEGISECEK",D142)),ISNUMBER(SEARCH("DEĞİŞİM",D142)),ISNUMBER(SEARCH("DEGISIM",D142))),"PARÇA DEĞİŞİMİ",""))</f>
        <v/>
      </c>
      <c r="G142" s="47">
        <f>IF(AND(D142&lt;&gt;"",E142&lt;&gt;"",D142&lt;&gt;E142),"GÜNCELLENDİ","")</f>
        <v/>
      </c>
      <c r="H142" s="48" t="n"/>
    </row>
    <row r="143">
      <c r="A143" s="47" t="n"/>
      <c r="B143" s="47" t="n"/>
      <c r="C143" s="47" t="n"/>
      <c r="D143" s="47" t="n"/>
      <c r="E143" s="47" t="n"/>
      <c r="F143" s="47">
        <f>IF(D143="","",IF(OR(ISNUMBER(SEARCH("PARÇA DEĞİŞ",D143)),ISNUMBER(SEARCH("PARCA DEGIS",D143)),ISNUMBER(SEARCH("DEĞİŞECEK",D143)),ISNUMBER(SEARCH("DEGISECEK",D143)),ISNUMBER(SEARCH("DEĞİŞİM",D143)),ISNUMBER(SEARCH("DEGISIM",D143))),"PARÇA DEĞİŞİMİ",""))</f>
        <v/>
      </c>
      <c r="G143" s="47">
        <f>IF(AND(D143&lt;&gt;"",E143&lt;&gt;"",D143&lt;&gt;E143),"GÜNCELLENDİ","")</f>
        <v/>
      </c>
      <c r="H143" s="48" t="n"/>
    </row>
    <row r="144">
      <c r="A144" s="47" t="n"/>
      <c r="B144" s="47" t="n"/>
      <c r="C144" s="47" t="n"/>
      <c r="D144" s="47" t="n"/>
      <c r="E144" s="47" t="n"/>
      <c r="F144" s="47">
        <f>IF(D144="","",IF(OR(ISNUMBER(SEARCH("PARÇA DEĞİŞ",D144)),ISNUMBER(SEARCH("PARCA DEGIS",D144)),ISNUMBER(SEARCH("DEĞİŞECEK",D144)),ISNUMBER(SEARCH("DEGISECEK",D144)),ISNUMBER(SEARCH("DEĞİŞİM",D144)),ISNUMBER(SEARCH("DEGISIM",D144))),"PARÇA DEĞİŞİMİ",""))</f>
        <v/>
      </c>
      <c r="G144" s="47">
        <f>IF(AND(D144&lt;&gt;"",E144&lt;&gt;"",D144&lt;&gt;E144),"GÜNCELLENDİ","")</f>
        <v/>
      </c>
      <c r="H144" s="48" t="n"/>
    </row>
    <row r="145">
      <c r="A145" s="47" t="n"/>
      <c r="B145" s="47" t="n"/>
      <c r="C145" s="47" t="n"/>
      <c r="D145" s="47" t="n"/>
      <c r="E145" s="47" t="n"/>
      <c r="F145" s="47">
        <f>IF(D145="","",IF(OR(ISNUMBER(SEARCH("PARÇA DEĞİŞ",D145)),ISNUMBER(SEARCH("PARCA DEGIS",D145)),ISNUMBER(SEARCH("DEĞİŞECEK",D145)),ISNUMBER(SEARCH("DEGISECEK",D145)),ISNUMBER(SEARCH("DEĞİŞİM",D145)),ISNUMBER(SEARCH("DEGISIM",D145))),"PARÇA DEĞİŞİMİ",""))</f>
        <v/>
      </c>
      <c r="G145" s="47">
        <f>IF(AND(D145&lt;&gt;"",E145&lt;&gt;"",D145&lt;&gt;E145),"GÜNCELLENDİ","")</f>
        <v/>
      </c>
      <c r="H145" s="48" t="n"/>
    </row>
    <row r="146">
      <c r="A146" s="47" t="n"/>
      <c r="B146" s="47" t="n"/>
      <c r="C146" s="47" t="n"/>
      <c r="D146" s="47" t="n"/>
      <c r="E146" s="47" t="n"/>
      <c r="F146" s="47">
        <f>IF(D146="","",IF(OR(ISNUMBER(SEARCH("PARÇA DEĞİŞ",D146)),ISNUMBER(SEARCH("PARCA DEGIS",D146)),ISNUMBER(SEARCH("DEĞİŞECEK",D146)),ISNUMBER(SEARCH("DEGISECEK",D146)),ISNUMBER(SEARCH("DEĞİŞİM",D146)),ISNUMBER(SEARCH("DEGISIM",D146))),"PARÇA DEĞİŞİMİ",""))</f>
        <v/>
      </c>
      <c r="G146" s="47">
        <f>IF(AND(D146&lt;&gt;"",E146&lt;&gt;"",D146&lt;&gt;E146),"GÜNCELLENDİ","")</f>
        <v/>
      </c>
      <c r="H146" s="48" t="n"/>
    </row>
    <row r="147">
      <c r="A147" s="47" t="n"/>
      <c r="B147" s="47" t="n"/>
      <c r="C147" s="47" t="n"/>
      <c r="D147" s="47" t="n"/>
      <c r="E147" s="47" t="n"/>
      <c r="F147" s="47">
        <f>IF(D147="","",IF(OR(ISNUMBER(SEARCH("PARÇA DEĞİŞ",D147)),ISNUMBER(SEARCH("PARCA DEGIS",D147)),ISNUMBER(SEARCH("DEĞİŞECEK",D147)),ISNUMBER(SEARCH("DEGISECEK",D147)),ISNUMBER(SEARCH("DEĞİŞİM",D147)),ISNUMBER(SEARCH("DEGISIM",D147))),"PARÇA DEĞİŞİMİ",""))</f>
        <v/>
      </c>
      <c r="G147" s="47">
        <f>IF(AND(D147&lt;&gt;"",E147&lt;&gt;"",D147&lt;&gt;E147),"GÜNCELLENDİ","")</f>
        <v/>
      </c>
      <c r="H147" s="48" t="n"/>
    </row>
    <row r="148">
      <c r="A148" s="47" t="n"/>
      <c r="B148" s="47" t="n"/>
      <c r="C148" s="47" t="n"/>
      <c r="D148" s="47" t="n"/>
      <c r="E148" s="47" t="n"/>
      <c r="F148" s="47">
        <f>IF(D148="","",IF(OR(ISNUMBER(SEARCH("PARÇA DEĞİŞ",D148)),ISNUMBER(SEARCH("PARCA DEGIS",D148)),ISNUMBER(SEARCH("DEĞİŞECEK",D148)),ISNUMBER(SEARCH("DEGISECEK",D148)),ISNUMBER(SEARCH("DEĞİŞİM",D148)),ISNUMBER(SEARCH("DEGISIM",D148))),"PARÇA DEĞİŞİMİ",""))</f>
        <v/>
      </c>
      <c r="G148" s="47">
        <f>IF(AND(D148&lt;&gt;"",E148&lt;&gt;"",D148&lt;&gt;E148),"GÜNCELLENDİ","")</f>
        <v/>
      </c>
      <c r="H148" s="48" t="n"/>
    </row>
    <row r="149">
      <c r="A149" s="47" t="n"/>
      <c r="B149" s="47" t="n"/>
      <c r="C149" s="47" t="n"/>
      <c r="D149" s="47" t="n"/>
      <c r="E149" s="47" t="n"/>
      <c r="F149" s="47">
        <f>IF(D149="","",IF(OR(ISNUMBER(SEARCH("PARÇA DEĞİŞ",D149)),ISNUMBER(SEARCH("PARCA DEGIS",D149)),ISNUMBER(SEARCH("DEĞİŞECEK",D149)),ISNUMBER(SEARCH("DEGISECEK",D149)),ISNUMBER(SEARCH("DEĞİŞİM",D149)),ISNUMBER(SEARCH("DEGISIM",D149))),"PARÇA DEĞİŞİMİ",""))</f>
        <v/>
      </c>
      <c r="G149" s="47">
        <f>IF(AND(D149&lt;&gt;"",E149&lt;&gt;"",D149&lt;&gt;E149),"GÜNCELLENDİ","")</f>
        <v/>
      </c>
      <c r="H149" s="48" t="n"/>
    </row>
    <row r="150">
      <c r="A150" s="47" t="n"/>
      <c r="B150" s="47" t="n"/>
      <c r="C150" s="47" t="n"/>
      <c r="D150" s="47" t="n"/>
      <c r="E150" s="47" t="n"/>
      <c r="F150" s="47">
        <f>IF(D150="","",IF(OR(ISNUMBER(SEARCH("PARÇA DEĞİŞ",D150)),ISNUMBER(SEARCH("PARCA DEGIS",D150)),ISNUMBER(SEARCH("DEĞİŞECEK",D150)),ISNUMBER(SEARCH("DEGISECEK",D150)),ISNUMBER(SEARCH("DEĞİŞİM",D150)),ISNUMBER(SEARCH("DEGISIM",D150))),"PARÇA DEĞİŞİMİ",""))</f>
        <v/>
      </c>
      <c r="G150" s="47">
        <f>IF(AND(D150&lt;&gt;"",E150&lt;&gt;"",D150&lt;&gt;E150),"GÜNCELLENDİ","")</f>
        <v/>
      </c>
      <c r="H150" s="48" t="n"/>
    </row>
    <row r="151">
      <c r="A151" s="47" t="n"/>
      <c r="B151" s="47" t="n"/>
      <c r="C151" s="47" t="n"/>
      <c r="D151" s="47" t="n"/>
      <c r="E151" s="47" t="n"/>
      <c r="F151" s="47">
        <f>IF(D151="","",IF(OR(ISNUMBER(SEARCH("PARÇA DEĞİŞ",D151)),ISNUMBER(SEARCH("PARCA DEGIS",D151)),ISNUMBER(SEARCH("DEĞİŞECEK",D151)),ISNUMBER(SEARCH("DEGISECEK",D151)),ISNUMBER(SEARCH("DEĞİŞİM",D151)),ISNUMBER(SEARCH("DEGISIM",D151))),"PARÇA DEĞİŞİMİ",""))</f>
        <v/>
      </c>
      <c r="G151" s="47">
        <f>IF(AND(D151&lt;&gt;"",E151&lt;&gt;"",D151&lt;&gt;E151),"GÜNCELLENDİ","")</f>
        <v/>
      </c>
      <c r="H151" s="48" t="n"/>
    </row>
    <row r="152">
      <c r="A152" s="47" t="n"/>
      <c r="B152" s="47" t="n"/>
      <c r="C152" s="47" t="n"/>
      <c r="D152" s="47" t="n"/>
      <c r="E152" s="47" t="n"/>
      <c r="F152" s="47">
        <f>IF(D152="","",IF(OR(ISNUMBER(SEARCH("PARÇA DEĞİŞ",D152)),ISNUMBER(SEARCH("PARCA DEGIS",D152)),ISNUMBER(SEARCH("DEĞİŞECEK",D152)),ISNUMBER(SEARCH("DEGISECEK",D152)),ISNUMBER(SEARCH("DEĞİŞİM",D152)),ISNUMBER(SEARCH("DEGISIM",D152))),"PARÇA DEĞİŞİMİ",""))</f>
        <v/>
      </c>
      <c r="G152" s="47">
        <f>IF(AND(D152&lt;&gt;"",E152&lt;&gt;"",D152&lt;&gt;E152),"GÜNCELLENDİ","")</f>
        <v/>
      </c>
      <c r="H152" s="48" t="n"/>
    </row>
    <row r="153">
      <c r="A153" s="47" t="n"/>
      <c r="B153" s="47" t="n"/>
      <c r="C153" s="47" t="n"/>
      <c r="D153" s="47" t="n"/>
      <c r="E153" s="47" t="n"/>
      <c r="F153" s="47">
        <f>IF(D153="","",IF(OR(ISNUMBER(SEARCH("PARÇA DEĞİŞ",D153)),ISNUMBER(SEARCH("PARCA DEGIS",D153)),ISNUMBER(SEARCH("DEĞİŞECEK",D153)),ISNUMBER(SEARCH("DEGISECEK",D153)),ISNUMBER(SEARCH("DEĞİŞİM",D153)),ISNUMBER(SEARCH("DEGISIM",D153))),"PARÇA DEĞİŞİMİ",""))</f>
        <v/>
      </c>
      <c r="G153" s="47">
        <f>IF(AND(D153&lt;&gt;"",E153&lt;&gt;"",D153&lt;&gt;E153),"GÜNCELLENDİ","")</f>
        <v/>
      </c>
      <c r="H153" s="48" t="n"/>
    </row>
    <row r="154">
      <c r="A154" s="47" t="n"/>
      <c r="B154" s="47" t="n"/>
      <c r="C154" s="47" t="n"/>
      <c r="D154" s="47" t="n"/>
      <c r="E154" s="47" t="n"/>
      <c r="F154" s="47">
        <f>IF(D154="","",IF(OR(ISNUMBER(SEARCH("PARÇA DEĞİŞ",D154)),ISNUMBER(SEARCH("PARCA DEGIS",D154)),ISNUMBER(SEARCH("DEĞİŞECEK",D154)),ISNUMBER(SEARCH("DEGISECEK",D154)),ISNUMBER(SEARCH("DEĞİŞİM",D154)),ISNUMBER(SEARCH("DEGISIM",D154))),"PARÇA DEĞİŞİMİ",""))</f>
        <v/>
      </c>
      <c r="G154" s="47">
        <f>IF(AND(D154&lt;&gt;"",E154&lt;&gt;"",D154&lt;&gt;E154),"GÜNCELLENDİ","")</f>
        <v/>
      </c>
      <c r="H154" s="48" t="n"/>
    </row>
    <row r="155">
      <c r="A155" s="47" t="n"/>
      <c r="B155" s="47" t="n"/>
      <c r="C155" s="47" t="n"/>
      <c r="D155" s="47" t="n"/>
      <c r="E155" s="47" t="n"/>
      <c r="F155" s="47">
        <f>IF(D155="","",IF(OR(ISNUMBER(SEARCH("PARÇA DEĞİŞ",D155)),ISNUMBER(SEARCH("PARCA DEGIS",D155)),ISNUMBER(SEARCH("DEĞİŞECEK",D155)),ISNUMBER(SEARCH("DEGISECEK",D155)),ISNUMBER(SEARCH("DEĞİŞİM",D155)),ISNUMBER(SEARCH("DEGISIM",D155))),"PARÇA DEĞİŞİMİ",""))</f>
        <v/>
      </c>
      <c r="G155" s="47">
        <f>IF(AND(D155&lt;&gt;"",E155&lt;&gt;"",D155&lt;&gt;E155),"GÜNCELLENDİ","")</f>
        <v/>
      </c>
      <c r="H155" s="48" t="n"/>
    </row>
    <row r="156">
      <c r="A156" s="47" t="n"/>
      <c r="B156" s="47" t="n"/>
      <c r="C156" s="47" t="n"/>
      <c r="D156" s="47" t="n"/>
      <c r="E156" s="47" t="n"/>
      <c r="F156" s="47">
        <f>IF(D156="","",IF(OR(ISNUMBER(SEARCH("PARÇA DEĞİŞ",D156)),ISNUMBER(SEARCH("PARCA DEGIS",D156)),ISNUMBER(SEARCH("DEĞİŞECEK",D156)),ISNUMBER(SEARCH("DEGISECEK",D156)),ISNUMBER(SEARCH("DEĞİŞİM",D156)),ISNUMBER(SEARCH("DEGISIM",D156))),"PARÇA DEĞİŞİMİ",""))</f>
        <v/>
      </c>
      <c r="G156" s="47">
        <f>IF(AND(D156&lt;&gt;"",E156&lt;&gt;"",D156&lt;&gt;E156),"GÜNCELLENDİ","")</f>
        <v/>
      </c>
      <c r="H156" s="48" t="n"/>
    </row>
    <row r="157">
      <c r="A157" s="47" t="n"/>
      <c r="B157" s="47" t="n"/>
      <c r="C157" s="47" t="n"/>
      <c r="D157" s="47" t="n"/>
      <c r="E157" s="47" t="n"/>
      <c r="F157" s="47">
        <f>IF(D157="","",IF(OR(ISNUMBER(SEARCH("PARÇA DEĞİŞ",D157)),ISNUMBER(SEARCH("PARCA DEGIS",D157)),ISNUMBER(SEARCH("DEĞİŞECEK",D157)),ISNUMBER(SEARCH("DEGISECEK",D157)),ISNUMBER(SEARCH("DEĞİŞİM",D157)),ISNUMBER(SEARCH("DEGISIM",D157))),"PARÇA DEĞİŞİMİ",""))</f>
        <v/>
      </c>
      <c r="G157" s="47">
        <f>IF(AND(D157&lt;&gt;"",E157&lt;&gt;"",D157&lt;&gt;E157),"GÜNCELLENDİ","")</f>
        <v/>
      </c>
      <c r="H157" s="48" t="n"/>
    </row>
    <row r="158">
      <c r="A158" s="47" t="n"/>
      <c r="B158" s="47" t="n"/>
      <c r="C158" s="47" t="n"/>
      <c r="D158" s="47" t="n"/>
      <c r="E158" s="47" t="n"/>
      <c r="F158" s="47">
        <f>IF(D158="","",IF(OR(ISNUMBER(SEARCH("PARÇA DEĞİŞ",D158)),ISNUMBER(SEARCH("PARCA DEGIS",D158)),ISNUMBER(SEARCH("DEĞİŞECEK",D158)),ISNUMBER(SEARCH("DEGISECEK",D158)),ISNUMBER(SEARCH("DEĞİŞİM",D158)),ISNUMBER(SEARCH("DEGISIM",D158))),"PARÇA DEĞİŞİMİ",""))</f>
        <v/>
      </c>
      <c r="G158" s="47">
        <f>IF(AND(D158&lt;&gt;"",E158&lt;&gt;"",D158&lt;&gt;E158),"GÜNCELLENDİ","")</f>
        <v/>
      </c>
      <c r="H158" s="48" t="n"/>
    </row>
    <row r="159">
      <c r="A159" s="47" t="n"/>
      <c r="B159" s="47" t="n"/>
      <c r="C159" s="47" t="n"/>
      <c r="D159" s="47" t="n"/>
      <c r="E159" s="47" t="n"/>
      <c r="F159" s="47">
        <f>IF(D159="","",IF(OR(ISNUMBER(SEARCH("PARÇA DEĞİŞ",D159)),ISNUMBER(SEARCH("PARCA DEGIS",D159)),ISNUMBER(SEARCH("DEĞİŞECEK",D159)),ISNUMBER(SEARCH("DEGISECEK",D159)),ISNUMBER(SEARCH("DEĞİŞİM",D159)),ISNUMBER(SEARCH("DEGISIM",D159))),"PARÇA DEĞİŞİMİ",""))</f>
        <v/>
      </c>
      <c r="G159" s="47">
        <f>IF(AND(D159&lt;&gt;"",E159&lt;&gt;"",D159&lt;&gt;E159),"GÜNCELLENDİ","")</f>
        <v/>
      </c>
      <c r="H159" s="48" t="n"/>
    </row>
    <row r="160">
      <c r="A160" s="47" t="n"/>
      <c r="B160" s="47" t="n"/>
      <c r="C160" s="47" t="n"/>
      <c r="D160" s="47" t="n"/>
      <c r="E160" s="47" t="n"/>
      <c r="F160" s="47">
        <f>IF(D160="","",IF(OR(ISNUMBER(SEARCH("PARÇA DEĞİŞ",D160)),ISNUMBER(SEARCH("PARCA DEGIS",D160)),ISNUMBER(SEARCH("DEĞİŞECEK",D160)),ISNUMBER(SEARCH("DEGISECEK",D160)),ISNUMBER(SEARCH("DEĞİŞİM",D160)),ISNUMBER(SEARCH("DEGISIM",D160))),"PARÇA DEĞİŞİMİ",""))</f>
        <v/>
      </c>
      <c r="G160" s="47">
        <f>IF(AND(D160&lt;&gt;"",E160&lt;&gt;"",D160&lt;&gt;E160),"GÜNCELLENDİ","")</f>
        <v/>
      </c>
      <c r="H160" s="48" t="n"/>
    </row>
    <row r="161">
      <c r="A161" s="47" t="n"/>
      <c r="B161" s="47" t="n"/>
      <c r="C161" s="47" t="n"/>
      <c r="D161" s="47" t="n"/>
      <c r="E161" s="47" t="n"/>
      <c r="F161" s="47">
        <f>IF(D161="","",IF(OR(ISNUMBER(SEARCH("PARÇA DEĞİŞ",D161)),ISNUMBER(SEARCH("PARCA DEGIS",D161)),ISNUMBER(SEARCH("DEĞİŞECEK",D161)),ISNUMBER(SEARCH("DEGISECEK",D161)),ISNUMBER(SEARCH("DEĞİŞİM",D161)),ISNUMBER(SEARCH("DEGISIM",D161))),"PARÇA DEĞİŞİMİ",""))</f>
        <v/>
      </c>
      <c r="G161" s="47">
        <f>IF(AND(D161&lt;&gt;"",E161&lt;&gt;"",D161&lt;&gt;E161),"GÜNCELLENDİ","")</f>
        <v/>
      </c>
      <c r="H161" s="48" t="n"/>
    </row>
    <row r="162">
      <c r="A162" s="47" t="n"/>
      <c r="B162" s="47" t="n"/>
      <c r="C162" s="47" t="n"/>
      <c r="D162" s="47" t="n"/>
      <c r="E162" s="47" t="n"/>
      <c r="F162" s="47">
        <f>IF(D162="","",IF(OR(ISNUMBER(SEARCH("PARÇA DEĞİŞ",D162)),ISNUMBER(SEARCH("PARCA DEGIS",D162)),ISNUMBER(SEARCH("DEĞİŞECEK",D162)),ISNUMBER(SEARCH("DEGISECEK",D162)),ISNUMBER(SEARCH("DEĞİŞİM",D162)),ISNUMBER(SEARCH("DEGISIM",D162))),"PARÇA DEĞİŞİMİ",""))</f>
        <v/>
      </c>
      <c r="G162" s="47">
        <f>IF(AND(D162&lt;&gt;"",E162&lt;&gt;"",D162&lt;&gt;E162),"GÜNCELLENDİ","")</f>
        <v/>
      </c>
      <c r="H162" s="48" t="n"/>
    </row>
    <row r="163">
      <c r="A163" s="47" t="n"/>
      <c r="B163" s="47" t="n"/>
      <c r="C163" s="47" t="n"/>
      <c r="D163" s="47" t="n"/>
      <c r="E163" s="47" t="n"/>
      <c r="F163" s="47">
        <f>IF(D163="","",IF(OR(ISNUMBER(SEARCH("PARÇA DEĞİŞ",D163)),ISNUMBER(SEARCH("PARCA DEGIS",D163)),ISNUMBER(SEARCH("DEĞİŞECEK",D163)),ISNUMBER(SEARCH("DEGISECEK",D163)),ISNUMBER(SEARCH("DEĞİŞİM",D163)),ISNUMBER(SEARCH("DEGISIM",D163))),"PARÇA DEĞİŞİMİ",""))</f>
        <v/>
      </c>
      <c r="G163" s="47">
        <f>IF(AND(D163&lt;&gt;"",E163&lt;&gt;"",D163&lt;&gt;E163),"GÜNCELLENDİ","")</f>
        <v/>
      </c>
      <c r="H163" s="48" t="n"/>
    </row>
    <row r="164">
      <c r="A164" s="47" t="n"/>
      <c r="B164" s="47" t="n"/>
      <c r="C164" s="47" t="n"/>
      <c r="D164" s="47" t="n"/>
      <c r="E164" s="47" t="n"/>
      <c r="F164" s="47">
        <f>IF(D164="","",IF(OR(ISNUMBER(SEARCH("PARÇA DEĞİŞ",D164)),ISNUMBER(SEARCH("PARCA DEGIS",D164)),ISNUMBER(SEARCH("DEĞİŞECEK",D164)),ISNUMBER(SEARCH("DEGISECEK",D164)),ISNUMBER(SEARCH("DEĞİŞİM",D164)),ISNUMBER(SEARCH("DEGISIM",D164))),"PARÇA DEĞİŞİMİ",""))</f>
        <v/>
      </c>
      <c r="G164" s="47">
        <f>IF(AND(D164&lt;&gt;"",E164&lt;&gt;"",D164&lt;&gt;E164),"GÜNCELLENDİ","")</f>
        <v/>
      </c>
      <c r="H164" s="48" t="n"/>
    </row>
    <row r="165">
      <c r="A165" s="47" t="n"/>
      <c r="B165" s="47" t="n"/>
      <c r="C165" s="47" t="n"/>
      <c r="D165" s="47" t="n"/>
      <c r="E165" s="47" t="n"/>
      <c r="F165" s="47">
        <f>IF(D165="","",IF(OR(ISNUMBER(SEARCH("PARÇA DEĞİŞ",D165)),ISNUMBER(SEARCH("PARCA DEGIS",D165)),ISNUMBER(SEARCH("DEĞİŞECEK",D165)),ISNUMBER(SEARCH("DEGISECEK",D165)),ISNUMBER(SEARCH("DEĞİŞİM",D165)),ISNUMBER(SEARCH("DEGISIM",D165))),"PARÇA DEĞİŞİMİ",""))</f>
        <v/>
      </c>
      <c r="G165" s="47">
        <f>IF(AND(D165&lt;&gt;"",E165&lt;&gt;"",D165&lt;&gt;E165),"GÜNCELLENDİ","")</f>
        <v/>
      </c>
      <c r="H165" s="48" t="n"/>
    </row>
    <row r="166">
      <c r="A166" s="47" t="n"/>
      <c r="B166" s="47" t="n"/>
      <c r="C166" s="47" t="n"/>
      <c r="D166" s="47" t="n"/>
      <c r="E166" s="47" t="n"/>
      <c r="F166" s="47">
        <f>IF(D166="","",IF(OR(ISNUMBER(SEARCH("PARÇA DEĞİŞ",D166)),ISNUMBER(SEARCH("PARCA DEGIS",D166)),ISNUMBER(SEARCH("DEĞİŞECEK",D166)),ISNUMBER(SEARCH("DEGISECEK",D166)),ISNUMBER(SEARCH("DEĞİŞİM",D166)),ISNUMBER(SEARCH("DEGISIM",D166))),"PARÇA DEĞİŞİMİ",""))</f>
        <v/>
      </c>
      <c r="G166" s="47">
        <f>IF(AND(D166&lt;&gt;"",E166&lt;&gt;"",D166&lt;&gt;E166),"GÜNCELLENDİ","")</f>
        <v/>
      </c>
      <c r="H166" s="48" t="n"/>
    </row>
    <row r="167">
      <c r="A167" s="47" t="n"/>
      <c r="B167" s="47" t="n"/>
      <c r="C167" s="47" t="n"/>
      <c r="D167" s="47" t="n"/>
      <c r="E167" s="47" t="n"/>
      <c r="F167" s="47">
        <f>IF(D167="","",IF(OR(ISNUMBER(SEARCH("PARÇA DEĞİŞ",D167)),ISNUMBER(SEARCH("PARCA DEGIS",D167)),ISNUMBER(SEARCH("DEĞİŞECEK",D167)),ISNUMBER(SEARCH("DEGISECEK",D167)),ISNUMBER(SEARCH("DEĞİŞİM",D167)),ISNUMBER(SEARCH("DEGISIM",D167))),"PARÇA DEĞİŞİMİ",""))</f>
        <v/>
      </c>
      <c r="G167" s="47">
        <f>IF(AND(D167&lt;&gt;"",E167&lt;&gt;"",D167&lt;&gt;E167),"GÜNCELLENDİ","")</f>
        <v/>
      </c>
      <c r="H167" s="48" t="n"/>
    </row>
    <row r="168">
      <c r="A168" s="47" t="n"/>
      <c r="B168" s="47" t="n"/>
      <c r="C168" s="47" t="n"/>
      <c r="D168" s="47" t="n"/>
      <c r="E168" s="47" t="n"/>
      <c r="F168" s="47">
        <f>IF(D168="","",IF(OR(ISNUMBER(SEARCH("PARÇA DEĞİŞ",D168)),ISNUMBER(SEARCH("PARCA DEGIS",D168)),ISNUMBER(SEARCH("DEĞİŞECEK",D168)),ISNUMBER(SEARCH("DEGISECEK",D168)),ISNUMBER(SEARCH("DEĞİŞİM",D168)),ISNUMBER(SEARCH("DEGISIM",D168))),"PARÇA DEĞİŞİMİ",""))</f>
        <v/>
      </c>
      <c r="G168" s="47">
        <f>IF(AND(D168&lt;&gt;"",E168&lt;&gt;"",D168&lt;&gt;E168),"GÜNCELLENDİ","")</f>
        <v/>
      </c>
      <c r="H168" s="48" t="n"/>
    </row>
    <row r="169">
      <c r="A169" s="47" t="n"/>
      <c r="B169" s="47" t="n"/>
      <c r="C169" s="47" t="n"/>
      <c r="D169" s="47" t="n"/>
      <c r="E169" s="47" t="n"/>
      <c r="F169" s="47">
        <f>IF(D169="","",IF(OR(ISNUMBER(SEARCH("PARÇA DEĞİŞ",D169)),ISNUMBER(SEARCH("PARCA DEGIS",D169)),ISNUMBER(SEARCH("DEĞİŞECEK",D169)),ISNUMBER(SEARCH("DEGISECEK",D169)),ISNUMBER(SEARCH("DEĞİŞİM",D169)),ISNUMBER(SEARCH("DEGISIM",D169))),"PARÇA DEĞİŞİMİ",""))</f>
        <v/>
      </c>
      <c r="G169" s="47">
        <f>IF(AND(D169&lt;&gt;"",E169&lt;&gt;"",D169&lt;&gt;E169),"GÜNCELLENDİ","")</f>
        <v/>
      </c>
      <c r="H169" s="48" t="n"/>
    </row>
    <row r="170">
      <c r="A170" s="47" t="n"/>
      <c r="B170" s="47" t="n"/>
      <c r="C170" s="47" t="n"/>
      <c r="D170" s="47" t="n"/>
      <c r="E170" s="47" t="n"/>
      <c r="F170" s="47">
        <f>IF(D170="","",IF(OR(ISNUMBER(SEARCH("PARÇA DEĞİŞ",D170)),ISNUMBER(SEARCH("PARCA DEGIS",D170)),ISNUMBER(SEARCH("DEĞİŞECEK",D170)),ISNUMBER(SEARCH("DEGISECEK",D170)),ISNUMBER(SEARCH("DEĞİŞİM",D170)),ISNUMBER(SEARCH("DEGISIM",D170))),"PARÇA DEĞİŞİMİ",""))</f>
        <v/>
      </c>
      <c r="G170" s="47">
        <f>IF(AND(D170&lt;&gt;"",E170&lt;&gt;"",D170&lt;&gt;E170),"GÜNCELLENDİ","")</f>
        <v/>
      </c>
      <c r="H170" s="48" t="n"/>
    </row>
    <row r="171">
      <c r="A171" s="47" t="n"/>
      <c r="B171" s="47" t="n"/>
      <c r="C171" s="47" t="n"/>
      <c r="D171" s="47" t="n"/>
      <c r="E171" s="47" t="n"/>
      <c r="F171" s="47">
        <f>IF(D171="","",IF(OR(ISNUMBER(SEARCH("PARÇA DEĞİŞ",D171)),ISNUMBER(SEARCH("PARCA DEGIS",D171)),ISNUMBER(SEARCH("DEĞİŞECEK",D171)),ISNUMBER(SEARCH("DEGISECEK",D171)),ISNUMBER(SEARCH("DEĞİŞİM",D171)),ISNUMBER(SEARCH("DEGISIM",D171))),"PARÇA DEĞİŞİMİ",""))</f>
        <v/>
      </c>
      <c r="G171" s="47">
        <f>IF(AND(D171&lt;&gt;"",E171&lt;&gt;"",D171&lt;&gt;E171),"GÜNCELLENDİ","")</f>
        <v/>
      </c>
      <c r="H171" s="48" t="n"/>
    </row>
    <row r="172">
      <c r="A172" s="47" t="n"/>
      <c r="B172" s="47" t="n"/>
      <c r="C172" s="47" t="n"/>
      <c r="D172" s="47" t="n"/>
      <c r="E172" s="47" t="n"/>
      <c r="F172" s="47">
        <f>IF(D172="","",IF(OR(ISNUMBER(SEARCH("PARÇA DEĞİŞ",D172)),ISNUMBER(SEARCH("PARCA DEGIS",D172)),ISNUMBER(SEARCH("DEĞİŞECEK",D172)),ISNUMBER(SEARCH("DEGISECEK",D172)),ISNUMBER(SEARCH("DEĞİŞİM",D172)),ISNUMBER(SEARCH("DEGISIM",D172))),"PARÇA DEĞİŞİMİ",""))</f>
        <v/>
      </c>
      <c r="G172" s="47">
        <f>IF(AND(D172&lt;&gt;"",E172&lt;&gt;"",D172&lt;&gt;E172),"GÜNCELLENDİ","")</f>
        <v/>
      </c>
      <c r="H172" s="48" t="n"/>
    </row>
    <row r="173">
      <c r="A173" s="47" t="n"/>
      <c r="B173" s="47" t="n"/>
      <c r="C173" s="47" t="n"/>
      <c r="D173" s="47" t="n"/>
      <c r="E173" s="47" t="n"/>
      <c r="F173" s="47">
        <f>IF(D173="","",IF(OR(ISNUMBER(SEARCH("PARÇA DEĞİŞ",D173)),ISNUMBER(SEARCH("PARCA DEGIS",D173)),ISNUMBER(SEARCH("DEĞİŞECEK",D173)),ISNUMBER(SEARCH("DEGISECEK",D173)),ISNUMBER(SEARCH("DEĞİŞİM",D173)),ISNUMBER(SEARCH("DEGISIM",D173))),"PARÇA DEĞİŞİMİ",""))</f>
        <v/>
      </c>
      <c r="G173" s="47">
        <f>IF(AND(D173&lt;&gt;"",E173&lt;&gt;"",D173&lt;&gt;E173),"GÜNCELLENDİ","")</f>
        <v/>
      </c>
      <c r="H173" s="48" t="n"/>
    </row>
    <row r="174">
      <c r="A174" s="47" t="n"/>
      <c r="B174" s="47" t="n"/>
      <c r="C174" s="47" t="n"/>
      <c r="D174" s="47" t="n"/>
      <c r="E174" s="47" t="n"/>
      <c r="F174" s="47">
        <f>IF(D174="","",IF(OR(ISNUMBER(SEARCH("PARÇA DEĞİŞ",D174)),ISNUMBER(SEARCH("PARCA DEGIS",D174)),ISNUMBER(SEARCH("DEĞİŞECEK",D174)),ISNUMBER(SEARCH("DEGISECEK",D174)),ISNUMBER(SEARCH("DEĞİŞİM",D174)),ISNUMBER(SEARCH("DEGISIM",D174))),"PARÇA DEĞİŞİMİ",""))</f>
        <v/>
      </c>
      <c r="G174" s="47">
        <f>IF(AND(D174&lt;&gt;"",E174&lt;&gt;"",D174&lt;&gt;E174),"GÜNCELLENDİ","")</f>
        <v/>
      </c>
      <c r="H174" s="48" t="n"/>
    </row>
    <row r="175">
      <c r="A175" s="47" t="n"/>
      <c r="B175" s="47" t="n"/>
      <c r="C175" s="47" t="n"/>
      <c r="D175" s="47" t="n"/>
      <c r="E175" s="47" t="n"/>
      <c r="F175" s="47">
        <f>IF(D175="","",IF(OR(ISNUMBER(SEARCH("PARÇA DEĞİŞ",D175)),ISNUMBER(SEARCH("PARCA DEGIS",D175)),ISNUMBER(SEARCH("DEĞİŞECEK",D175)),ISNUMBER(SEARCH("DEGISECEK",D175)),ISNUMBER(SEARCH("DEĞİŞİM",D175)),ISNUMBER(SEARCH("DEGISIM",D175))),"PARÇA DEĞİŞİMİ",""))</f>
        <v/>
      </c>
      <c r="G175" s="47">
        <f>IF(AND(D175&lt;&gt;"",E175&lt;&gt;"",D175&lt;&gt;E175),"GÜNCELLENDİ","")</f>
        <v/>
      </c>
      <c r="H175" s="48" t="n"/>
    </row>
    <row r="176">
      <c r="A176" s="47" t="n"/>
      <c r="B176" s="47" t="n"/>
      <c r="C176" s="47" t="n"/>
      <c r="D176" s="47" t="n"/>
      <c r="E176" s="47" t="n"/>
      <c r="F176" s="47">
        <f>IF(D176="","",IF(OR(ISNUMBER(SEARCH("PARÇA DEĞİŞ",D176)),ISNUMBER(SEARCH("PARCA DEGIS",D176)),ISNUMBER(SEARCH("DEĞİŞECEK",D176)),ISNUMBER(SEARCH("DEGISECEK",D176)),ISNUMBER(SEARCH("DEĞİŞİM",D176)),ISNUMBER(SEARCH("DEGISIM",D176))),"PARÇA DEĞİŞİMİ",""))</f>
        <v/>
      </c>
      <c r="G176" s="47">
        <f>IF(AND(D176&lt;&gt;"",E176&lt;&gt;"",D176&lt;&gt;E176),"GÜNCELLENDİ","")</f>
        <v/>
      </c>
      <c r="H176" s="48" t="n"/>
    </row>
    <row r="177">
      <c r="A177" s="47" t="n"/>
      <c r="B177" s="47" t="n"/>
      <c r="C177" s="47" t="n"/>
      <c r="D177" s="47" t="n"/>
      <c r="E177" s="47" t="n"/>
      <c r="F177" s="47">
        <f>IF(D177="","",IF(OR(ISNUMBER(SEARCH("PARÇA DEĞİŞ",D177)),ISNUMBER(SEARCH("PARCA DEGIS",D177)),ISNUMBER(SEARCH("DEĞİŞECEK",D177)),ISNUMBER(SEARCH("DEGISECEK",D177)),ISNUMBER(SEARCH("DEĞİŞİM",D177)),ISNUMBER(SEARCH("DEGISIM",D177))),"PARÇA DEĞİŞİMİ",""))</f>
        <v/>
      </c>
      <c r="G177" s="47">
        <f>IF(AND(D177&lt;&gt;"",E177&lt;&gt;"",D177&lt;&gt;E177),"GÜNCELLENDİ","")</f>
        <v/>
      </c>
      <c r="H177" s="48" t="n"/>
    </row>
    <row r="178">
      <c r="A178" s="47" t="n"/>
      <c r="B178" s="47" t="n"/>
      <c r="C178" s="47" t="n"/>
      <c r="D178" s="47" t="n"/>
      <c r="E178" s="47" t="n"/>
      <c r="F178" s="47">
        <f>IF(D178="","",IF(OR(ISNUMBER(SEARCH("PARÇA DEĞİŞ",D178)),ISNUMBER(SEARCH("PARCA DEGIS",D178)),ISNUMBER(SEARCH("DEĞİŞECEK",D178)),ISNUMBER(SEARCH("DEGISECEK",D178)),ISNUMBER(SEARCH("DEĞİŞİM",D178)),ISNUMBER(SEARCH("DEGISIM",D178))),"PARÇA DEĞİŞİMİ",""))</f>
        <v/>
      </c>
      <c r="G178" s="47">
        <f>IF(AND(D178&lt;&gt;"",E178&lt;&gt;"",D178&lt;&gt;E178),"GÜNCELLENDİ","")</f>
        <v/>
      </c>
      <c r="H178" s="48" t="n"/>
    </row>
    <row r="179">
      <c r="A179" s="47" t="n"/>
      <c r="B179" s="47" t="n"/>
      <c r="C179" s="47" t="n"/>
      <c r="D179" s="47" t="n"/>
      <c r="E179" s="47" t="n"/>
      <c r="F179" s="47">
        <f>IF(D179="","",IF(OR(ISNUMBER(SEARCH("PARÇA DEĞİŞ",D179)),ISNUMBER(SEARCH("PARCA DEGIS",D179)),ISNUMBER(SEARCH("DEĞİŞECEK",D179)),ISNUMBER(SEARCH("DEGISECEK",D179)),ISNUMBER(SEARCH("DEĞİŞİM",D179)),ISNUMBER(SEARCH("DEGISIM",D179))),"PARÇA DEĞİŞİMİ",""))</f>
        <v/>
      </c>
      <c r="G179" s="47">
        <f>IF(AND(D179&lt;&gt;"",E179&lt;&gt;"",D179&lt;&gt;E179),"GÜNCELLENDİ","")</f>
        <v/>
      </c>
      <c r="H179" s="48" t="n"/>
    </row>
    <row r="180">
      <c r="A180" s="47" t="n"/>
      <c r="B180" s="47" t="n"/>
      <c r="C180" s="47" t="n"/>
      <c r="D180" s="47" t="n"/>
      <c r="E180" s="47" t="n"/>
      <c r="F180" s="47">
        <f>IF(D180="","",IF(OR(ISNUMBER(SEARCH("PARÇA DEĞİŞ",D180)),ISNUMBER(SEARCH("PARCA DEGIS",D180)),ISNUMBER(SEARCH("DEĞİŞECEK",D180)),ISNUMBER(SEARCH("DEGISECEK",D180)),ISNUMBER(SEARCH("DEĞİŞİM",D180)),ISNUMBER(SEARCH("DEGISIM",D180))),"PARÇA DEĞİŞİMİ",""))</f>
        <v/>
      </c>
      <c r="G180" s="47">
        <f>IF(AND(D180&lt;&gt;"",E180&lt;&gt;"",D180&lt;&gt;E180),"GÜNCELLENDİ","")</f>
        <v/>
      </c>
      <c r="H180" s="48" t="n"/>
    </row>
    <row r="181">
      <c r="A181" s="47" t="n"/>
      <c r="B181" s="47" t="n"/>
      <c r="C181" s="47" t="n"/>
      <c r="D181" s="47" t="n"/>
      <c r="E181" s="47" t="n"/>
      <c r="F181" s="47">
        <f>IF(D181="","",IF(OR(ISNUMBER(SEARCH("PARÇA DEĞİŞ",D181)),ISNUMBER(SEARCH("PARCA DEGIS",D181)),ISNUMBER(SEARCH("DEĞİŞECEK",D181)),ISNUMBER(SEARCH("DEGISECEK",D181)),ISNUMBER(SEARCH("DEĞİŞİM",D181)),ISNUMBER(SEARCH("DEGISIM",D181))),"PARÇA DEĞİŞİMİ",""))</f>
        <v/>
      </c>
      <c r="G181" s="47">
        <f>IF(AND(D181&lt;&gt;"",E181&lt;&gt;"",D181&lt;&gt;E181),"GÜNCELLENDİ","")</f>
        <v/>
      </c>
      <c r="H181" s="48" t="n"/>
    </row>
    <row r="182">
      <c r="A182" s="47" t="n"/>
      <c r="B182" s="47" t="n"/>
      <c r="C182" s="47" t="n"/>
      <c r="D182" s="47" t="n"/>
      <c r="E182" s="47" t="n"/>
      <c r="F182" s="47">
        <f>IF(D182="","",IF(OR(ISNUMBER(SEARCH("PARÇA DEĞİŞ",D182)),ISNUMBER(SEARCH("PARCA DEGIS",D182)),ISNUMBER(SEARCH("DEĞİŞECEK",D182)),ISNUMBER(SEARCH("DEGISECEK",D182)),ISNUMBER(SEARCH("DEĞİŞİM",D182)),ISNUMBER(SEARCH("DEGISIM",D182))),"PARÇA DEĞİŞİMİ",""))</f>
        <v/>
      </c>
      <c r="G182" s="47">
        <f>IF(AND(D182&lt;&gt;"",E182&lt;&gt;"",D182&lt;&gt;E182),"GÜNCELLENDİ","")</f>
        <v/>
      </c>
      <c r="H182" s="48" t="n"/>
    </row>
    <row r="183">
      <c r="A183" s="47" t="n"/>
      <c r="B183" s="47" t="n"/>
      <c r="C183" s="47" t="n"/>
      <c r="D183" s="47" t="n"/>
      <c r="E183" s="47" t="n"/>
      <c r="F183" s="47">
        <f>IF(D183="","",IF(OR(ISNUMBER(SEARCH("PARÇA DEĞİŞ",D183)),ISNUMBER(SEARCH("PARCA DEGIS",D183)),ISNUMBER(SEARCH("DEĞİŞECEK",D183)),ISNUMBER(SEARCH("DEGISECEK",D183)),ISNUMBER(SEARCH("DEĞİŞİM",D183)),ISNUMBER(SEARCH("DEGISIM",D183))),"PARÇA DEĞİŞİMİ",""))</f>
        <v/>
      </c>
      <c r="G183" s="47">
        <f>IF(AND(D183&lt;&gt;"",E183&lt;&gt;"",D183&lt;&gt;E183),"GÜNCELLENDİ","")</f>
        <v/>
      </c>
      <c r="H183" s="48" t="n"/>
    </row>
    <row r="184">
      <c r="A184" s="47" t="n"/>
      <c r="B184" s="47" t="n"/>
      <c r="C184" s="47" t="n"/>
      <c r="D184" s="47" t="n"/>
      <c r="E184" s="47" t="n"/>
      <c r="F184" s="47">
        <f>IF(D184="","",IF(OR(ISNUMBER(SEARCH("PARÇA DEĞİŞ",D184)),ISNUMBER(SEARCH("PARCA DEGIS",D184)),ISNUMBER(SEARCH("DEĞİŞECEK",D184)),ISNUMBER(SEARCH("DEGISECEK",D184)),ISNUMBER(SEARCH("DEĞİŞİM",D184)),ISNUMBER(SEARCH("DEGISIM",D184))),"PARÇA DEĞİŞİMİ",""))</f>
        <v/>
      </c>
      <c r="G184" s="47">
        <f>IF(AND(D184&lt;&gt;"",E184&lt;&gt;"",D184&lt;&gt;E184),"GÜNCELLENDİ","")</f>
        <v/>
      </c>
      <c r="H184" s="48" t="n"/>
    </row>
    <row r="185">
      <c r="A185" s="47" t="n"/>
      <c r="B185" s="47" t="n"/>
      <c r="C185" s="47" t="n"/>
      <c r="D185" s="47" t="n"/>
      <c r="E185" s="47" t="n"/>
      <c r="F185" s="47">
        <f>IF(D185="","",IF(OR(ISNUMBER(SEARCH("PARÇA DEĞİŞ",D185)),ISNUMBER(SEARCH("PARCA DEGIS",D185)),ISNUMBER(SEARCH("DEĞİŞECEK",D185)),ISNUMBER(SEARCH("DEGISECEK",D185)),ISNUMBER(SEARCH("DEĞİŞİM",D185)),ISNUMBER(SEARCH("DEGISIM",D185))),"PARÇA DEĞİŞİMİ",""))</f>
        <v/>
      </c>
      <c r="G185" s="47">
        <f>IF(AND(D185&lt;&gt;"",E185&lt;&gt;"",D185&lt;&gt;E185),"GÜNCELLENDİ","")</f>
        <v/>
      </c>
      <c r="H185" s="48" t="n"/>
    </row>
    <row r="186">
      <c r="A186" s="47" t="n"/>
      <c r="B186" s="47" t="n"/>
      <c r="C186" s="47" t="n"/>
      <c r="D186" s="47" t="n"/>
      <c r="E186" s="47" t="n"/>
      <c r="F186" s="47">
        <f>IF(D186="","",IF(OR(ISNUMBER(SEARCH("PARÇA DEĞİŞ",D186)),ISNUMBER(SEARCH("PARCA DEGIS",D186)),ISNUMBER(SEARCH("DEĞİŞECEK",D186)),ISNUMBER(SEARCH("DEGISECEK",D186)),ISNUMBER(SEARCH("DEĞİŞİM",D186)),ISNUMBER(SEARCH("DEGISIM",D186))),"PARÇA DEĞİŞİMİ",""))</f>
        <v/>
      </c>
      <c r="G186" s="47">
        <f>IF(AND(D186&lt;&gt;"",E186&lt;&gt;"",D186&lt;&gt;E186),"GÜNCELLENDİ","")</f>
        <v/>
      </c>
      <c r="H186" s="48" t="n"/>
    </row>
    <row r="187">
      <c r="A187" s="47" t="n"/>
      <c r="B187" s="47" t="n"/>
      <c r="C187" s="47" t="n"/>
      <c r="D187" s="47" t="n"/>
      <c r="E187" s="47" t="n"/>
      <c r="F187" s="47">
        <f>IF(D187="","",IF(OR(ISNUMBER(SEARCH("PARÇA DEĞİŞ",D187)),ISNUMBER(SEARCH("PARCA DEGIS",D187)),ISNUMBER(SEARCH("DEĞİŞECEK",D187)),ISNUMBER(SEARCH("DEGISECEK",D187)),ISNUMBER(SEARCH("DEĞİŞİM",D187)),ISNUMBER(SEARCH("DEGISIM",D187))),"PARÇA DEĞİŞİMİ",""))</f>
        <v/>
      </c>
      <c r="G187" s="47">
        <f>IF(AND(D187&lt;&gt;"",E187&lt;&gt;"",D187&lt;&gt;E187),"GÜNCELLENDİ","")</f>
        <v/>
      </c>
      <c r="H187" s="48" t="n"/>
    </row>
    <row r="188">
      <c r="A188" s="47" t="n"/>
      <c r="B188" s="47" t="n"/>
      <c r="C188" s="47" t="n"/>
      <c r="D188" s="47" t="n"/>
      <c r="E188" s="47" t="n"/>
      <c r="F188" s="47">
        <f>IF(D188="","",IF(OR(ISNUMBER(SEARCH("PARÇA DEĞİŞ",D188)),ISNUMBER(SEARCH("PARCA DEGIS",D188)),ISNUMBER(SEARCH("DEĞİŞECEK",D188)),ISNUMBER(SEARCH("DEGISECEK",D188)),ISNUMBER(SEARCH("DEĞİŞİM",D188)),ISNUMBER(SEARCH("DEGISIM",D188))),"PARÇA DEĞİŞİMİ",""))</f>
        <v/>
      </c>
      <c r="G188" s="47">
        <f>IF(AND(D188&lt;&gt;"",E188&lt;&gt;"",D188&lt;&gt;E188),"GÜNCELLENDİ","")</f>
        <v/>
      </c>
      <c r="H188" s="48" t="n"/>
    </row>
    <row r="189">
      <c r="A189" s="47" t="n"/>
      <c r="B189" s="47" t="n"/>
      <c r="C189" s="47" t="n"/>
      <c r="D189" s="47" t="n"/>
      <c r="E189" s="47" t="n"/>
      <c r="F189" s="47">
        <f>IF(D189="","",IF(OR(ISNUMBER(SEARCH("PARÇA DEĞİŞ",D189)),ISNUMBER(SEARCH("PARCA DEGIS",D189)),ISNUMBER(SEARCH("DEĞİŞECEK",D189)),ISNUMBER(SEARCH("DEGISECEK",D189)),ISNUMBER(SEARCH("DEĞİŞİM",D189)),ISNUMBER(SEARCH("DEGISIM",D189))),"PARÇA DEĞİŞİMİ",""))</f>
        <v/>
      </c>
      <c r="G189" s="47">
        <f>IF(AND(D189&lt;&gt;"",E189&lt;&gt;"",D189&lt;&gt;E189),"GÜNCELLENDİ","")</f>
        <v/>
      </c>
      <c r="H189" s="48" t="n"/>
    </row>
    <row r="190">
      <c r="A190" s="47" t="n"/>
      <c r="B190" s="47" t="n"/>
      <c r="C190" s="47" t="n"/>
      <c r="D190" s="47" t="n"/>
      <c r="E190" s="47" t="n"/>
      <c r="F190" s="47">
        <f>IF(D190="","",IF(OR(ISNUMBER(SEARCH("PARÇA DEĞİŞ",D190)),ISNUMBER(SEARCH("PARCA DEGIS",D190)),ISNUMBER(SEARCH("DEĞİŞECEK",D190)),ISNUMBER(SEARCH("DEGISECEK",D190)),ISNUMBER(SEARCH("DEĞİŞİM",D190)),ISNUMBER(SEARCH("DEGISIM",D190))),"PARÇA DEĞİŞİMİ",""))</f>
        <v/>
      </c>
      <c r="G190" s="47">
        <f>IF(AND(D190&lt;&gt;"",E190&lt;&gt;"",D190&lt;&gt;E190),"GÜNCELLENDİ","")</f>
        <v/>
      </c>
      <c r="H190" s="48" t="n"/>
    </row>
    <row r="191">
      <c r="A191" s="47" t="n"/>
      <c r="B191" s="47" t="n"/>
      <c r="C191" s="47" t="n"/>
      <c r="D191" s="47" t="n"/>
      <c r="E191" s="47" t="n"/>
      <c r="F191" s="47">
        <f>IF(D191="","",IF(OR(ISNUMBER(SEARCH("PARÇA DEĞİŞ",D191)),ISNUMBER(SEARCH("PARCA DEGIS",D191)),ISNUMBER(SEARCH("DEĞİŞECEK",D191)),ISNUMBER(SEARCH("DEGISECEK",D191)),ISNUMBER(SEARCH("DEĞİŞİM",D191)),ISNUMBER(SEARCH("DEGISIM",D191))),"PARÇA DEĞİŞİMİ",""))</f>
        <v/>
      </c>
      <c r="G191" s="47">
        <f>IF(AND(D191&lt;&gt;"",E191&lt;&gt;"",D191&lt;&gt;E191),"GÜNCELLENDİ","")</f>
        <v/>
      </c>
      <c r="H191" s="48" t="n"/>
    </row>
    <row r="192">
      <c r="A192" s="47" t="n"/>
      <c r="B192" s="47" t="n"/>
      <c r="C192" s="47" t="n"/>
      <c r="D192" s="47" t="n"/>
      <c r="E192" s="47" t="n"/>
      <c r="F192" s="47">
        <f>IF(D192="","",IF(OR(ISNUMBER(SEARCH("PARÇA DEĞİŞ",D192)),ISNUMBER(SEARCH("PARCA DEGIS",D192)),ISNUMBER(SEARCH("DEĞİŞECEK",D192)),ISNUMBER(SEARCH("DEGISECEK",D192)),ISNUMBER(SEARCH("DEĞİŞİM",D192)),ISNUMBER(SEARCH("DEGISIM",D192))),"PARÇA DEĞİŞİMİ",""))</f>
        <v/>
      </c>
      <c r="G192" s="47">
        <f>IF(AND(D192&lt;&gt;"",E192&lt;&gt;"",D192&lt;&gt;E192),"GÜNCELLENDİ","")</f>
        <v/>
      </c>
      <c r="H192" s="48" t="n"/>
    </row>
    <row r="193">
      <c r="A193" s="47" t="n"/>
      <c r="B193" s="47" t="n"/>
      <c r="C193" s="47" t="n"/>
      <c r="D193" s="47" t="n"/>
      <c r="E193" s="47" t="n"/>
      <c r="F193" s="47">
        <f>IF(D193="","",IF(OR(ISNUMBER(SEARCH("PARÇA DEĞİŞ",D193)),ISNUMBER(SEARCH("PARCA DEGIS",D193)),ISNUMBER(SEARCH("DEĞİŞECEK",D193)),ISNUMBER(SEARCH("DEGISECEK",D193)),ISNUMBER(SEARCH("DEĞİŞİM",D193)),ISNUMBER(SEARCH("DEGISIM",D193))),"PARÇA DEĞİŞİMİ",""))</f>
        <v/>
      </c>
      <c r="G193" s="47">
        <f>IF(AND(D193&lt;&gt;"",E193&lt;&gt;"",D193&lt;&gt;E193),"GÜNCELLENDİ","")</f>
        <v/>
      </c>
      <c r="H193" s="48" t="n"/>
    </row>
    <row r="194">
      <c r="A194" s="47" t="n"/>
      <c r="B194" s="47" t="n"/>
      <c r="C194" s="47" t="n"/>
      <c r="D194" s="47" t="n"/>
      <c r="E194" s="47" t="n"/>
      <c r="F194" s="47">
        <f>IF(D194="","",IF(OR(ISNUMBER(SEARCH("PARÇA DEĞİŞ",D194)),ISNUMBER(SEARCH("PARCA DEGIS",D194)),ISNUMBER(SEARCH("DEĞİŞECEK",D194)),ISNUMBER(SEARCH("DEGISECEK",D194)),ISNUMBER(SEARCH("DEĞİŞİM",D194)),ISNUMBER(SEARCH("DEGISIM",D194))),"PARÇA DEĞİŞİMİ",""))</f>
        <v/>
      </c>
      <c r="G194" s="47">
        <f>IF(AND(D194&lt;&gt;"",E194&lt;&gt;"",D194&lt;&gt;E194),"GÜNCELLENDİ","")</f>
        <v/>
      </c>
      <c r="H194" s="48" t="n"/>
    </row>
    <row r="195">
      <c r="A195" s="47" t="n"/>
      <c r="B195" s="47" t="n"/>
      <c r="C195" s="47" t="n"/>
      <c r="D195" s="47" t="n"/>
      <c r="E195" s="47" t="n"/>
      <c r="F195" s="47">
        <f>IF(D195="","",IF(OR(ISNUMBER(SEARCH("PARÇA DEĞİŞ",D195)),ISNUMBER(SEARCH("PARCA DEGIS",D195)),ISNUMBER(SEARCH("DEĞİŞECEK",D195)),ISNUMBER(SEARCH("DEGISECEK",D195)),ISNUMBER(SEARCH("DEĞİŞİM",D195)),ISNUMBER(SEARCH("DEGISIM",D195))),"PARÇA DEĞİŞİMİ",""))</f>
        <v/>
      </c>
      <c r="G195" s="47">
        <f>IF(AND(D195&lt;&gt;"",E195&lt;&gt;"",D195&lt;&gt;E195),"GÜNCELLENDİ","")</f>
        <v/>
      </c>
      <c r="H195" s="48" t="n"/>
    </row>
    <row r="196">
      <c r="A196" s="47" t="n"/>
      <c r="B196" s="47" t="n"/>
      <c r="C196" s="47" t="n"/>
      <c r="D196" s="47" t="n"/>
      <c r="E196" s="47" t="n"/>
      <c r="F196" s="47">
        <f>IF(D196="","",IF(OR(ISNUMBER(SEARCH("PARÇA DEĞİŞ",D196)),ISNUMBER(SEARCH("PARCA DEGIS",D196)),ISNUMBER(SEARCH("DEĞİŞECEK",D196)),ISNUMBER(SEARCH("DEGISECEK",D196)),ISNUMBER(SEARCH("DEĞİŞİM",D196)),ISNUMBER(SEARCH("DEGISIM",D196))),"PARÇA DEĞİŞİMİ",""))</f>
        <v/>
      </c>
      <c r="G196" s="47">
        <f>IF(AND(D196&lt;&gt;"",E196&lt;&gt;"",D196&lt;&gt;E196),"GÜNCELLENDİ","")</f>
        <v/>
      </c>
      <c r="H196" s="48" t="n"/>
    </row>
    <row r="197">
      <c r="A197" s="47" t="n"/>
      <c r="B197" s="47" t="n"/>
      <c r="C197" s="47" t="n"/>
      <c r="D197" s="47" t="n"/>
      <c r="E197" s="47" t="n"/>
      <c r="F197" s="47">
        <f>IF(D197="","",IF(OR(ISNUMBER(SEARCH("PARÇA DEĞİŞ",D197)),ISNUMBER(SEARCH("PARCA DEGIS",D197)),ISNUMBER(SEARCH("DEĞİŞECEK",D197)),ISNUMBER(SEARCH("DEGISECEK",D197)),ISNUMBER(SEARCH("DEĞİŞİM",D197)),ISNUMBER(SEARCH("DEGISIM",D197))),"PARÇA DEĞİŞİMİ",""))</f>
        <v/>
      </c>
      <c r="G197" s="47">
        <f>IF(AND(D197&lt;&gt;"",E197&lt;&gt;"",D197&lt;&gt;E197),"GÜNCELLENDİ","")</f>
        <v/>
      </c>
      <c r="H197" s="48" t="n"/>
    </row>
    <row r="198">
      <c r="A198" s="47" t="n"/>
      <c r="B198" s="47" t="n"/>
      <c r="C198" s="47" t="n"/>
      <c r="D198" s="47" t="n"/>
      <c r="E198" s="47" t="n"/>
      <c r="F198" s="47">
        <f>IF(D198="","",IF(OR(ISNUMBER(SEARCH("PARÇA DEĞİŞ",D198)),ISNUMBER(SEARCH("PARCA DEGIS",D198)),ISNUMBER(SEARCH("DEĞİŞECEK",D198)),ISNUMBER(SEARCH("DEGISECEK",D198)),ISNUMBER(SEARCH("DEĞİŞİM",D198)),ISNUMBER(SEARCH("DEGISIM",D198))),"PARÇA DEĞİŞİMİ",""))</f>
        <v/>
      </c>
      <c r="G198" s="47">
        <f>IF(AND(D198&lt;&gt;"",E198&lt;&gt;"",D198&lt;&gt;E198),"GÜNCELLENDİ","")</f>
        <v/>
      </c>
      <c r="H198" s="48" t="n"/>
    </row>
    <row r="199">
      <c r="A199" s="47" t="n"/>
      <c r="B199" s="47" t="n"/>
      <c r="C199" s="47" t="n"/>
      <c r="D199" s="47" t="n"/>
      <c r="E199" s="47" t="n"/>
      <c r="F199" s="47">
        <f>IF(D199="","",IF(OR(ISNUMBER(SEARCH("PARÇA DEĞİŞ",D199)),ISNUMBER(SEARCH("PARCA DEGIS",D199)),ISNUMBER(SEARCH("DEĞİŞECEK",D199)),ISNUMBER(SEARCH("DEGISECEK",D199)),ISNUMBER(SEARCH("DEĞİŞİM",D199)),ISNUMBER(SEARCH("DEGISIM",D199))),"PARÇA DEĞİŞİMİ",""))</f>
        <v/>
      </c>
      <c r="G199" s="47">
        <f>IF(AND(D199&lt;&gt;"",E199&lt;&gt;"",D199&lt;&gt;E199),"GÜNCELLENDİ","")</f>
        <v/>
      </c>
      <c r="H199" s="48" t="n"/>
    </row>
    <row r="200">
      <c r="A200" s="47" t="n"/>
      <c r="B200" s="47" t="n"/>
      <c r="C200" s="47" t="n"/>
      <c r="D200" s="47" t="n"/>
      <c r="E200" s="47" t="n"/>
      <c r="F200" s="47">
        <f>IF(D200="","",IF(OR(ISNUMBER(SEARCH("PARÇA DEĞİŞ",D200)),ISNUMBER(SEARCH("PARCA DEGIS",D200)),ISNUMBER(SEARCH("DEĞİŞECEK",D200)),ISNUMBER(SEARCH("DEGISECEK",D200)),ISNUMBER(SEARCH("DEĞİŞİM",D200)),ISNUMBER(SEARCH("DEGISIM",D200))),"PARÇA DEĞİŞİMİ",""))</f>
        <v/>
      </c>
      <c r="G200" s="47">
        <f>IF(AND(D200&lt;&gt;"",E200&lt;&gt;"",D200&lt;&gt;E200),"GÜNCELLENDİ","")</f>
        <v/>
      </c>
      <c r="H200" s="48" t="n"/>
    </row>
    <row r="201">
      <c r="A201" s="47" t="n"/>
      <c r="B201" s="47" t="n"/>
      <c r="C201" s="47" t="n"/>
      <c r="D201" s="47" t="n"/>
      <c r="E201" s="47" t="n"/>
      <c r="F201" s="47">
        <f>IF(D201="","",IF(OR(ISNUMBER(SEARCH("PARÇA DEĞİŞ",D201)),ISNUMBER(SEARCH("PARCA DEGIS",D201)),ISNUMBER(SEARCH("DEĞİŞECEK",D201)),ISNUMBER(SEARCH("DEGISECEK",D201)),ISNUMBER(SEARCH("DEĞİŞİM",D201)),ISNUMBER(SEARCH("DEGISIM",D201))),"PARÇA DEĞİŞİMİ",""))</f>
        <v/>
      </c>
      <c r="G201" s="47">
        <f>IF(AND(D201&lt;&gt;"",E201&lt;&gt;"",D201&lt;&gt;E201),"GÜNCELLENDİ","")</f>
        <v/>
      </c>
      <c r="H201" s="48" t="n"/>
    </row>
    <row r="202">
      <c r="A202" s="47" t="n"/>
      <c r="B202" s="47" t="n"/>
      <c r="C202" s="47" t="n"/>
      <c r="D202" s="47" t="n"/>
      <c r="E202" s="47" t="n"/>
      <c r="F202" s="47">
        <f>IF(D202="","",IF(OR(ISNUMBER(SEARCH("PARÇA DEĞİŞ",D202)),ISNUMBER(SEARCH("PARCA DEGIS",D202)),ISNUMBER(SEARCH("DEĞİŞECEK",D202)),ISNUMBER(SEARCH("DEGISECEK",D202)),ISNUMBER(SEARCH("DEĞİŞİM",D202)),ISNUMBER(SEARCH("DEGISIM",D202))),"PARÇA DEĞİŞİMİ",""))</f>
        <v/>
      </c>
      <c r="G202" s="47">
        <f>IF(AND(D202&lt;&gt;"",E202&lt;&gt;"",D202&lt;&gt;E202),"GÜNCELLENDİ","")</f>
        <v/>
      </c>
      <c r="H202" s="48" t="n"/>
    </row>
    <row r="203">
      <c r="A203" s="47" t="n"/>
      <c r="B203" s="47" t="n"/>
      <c r="C203" s="47" t="n"/>
      <c r="D203" s="47" t="n"/>
      <c r="E203" s="47" t="n"/>
      <c r="F203" s="47">
        <f>IF(D203="","",IF(OR(ISNUMBER(SEARCH("PARÇA DEĞİŞ",D203)),ISNUMBER(SEARCH("PARCA DEGIS",D203)),ISNUMBER(SEARCH("DEĞİŞECEK",D203)),ISNUMBER(SEARCH("DEGISECEK",D203)),ISNUMBER(SEARCH("DEĞİŞİM",D203)),ISNUMBER(SEARCH("DEGISIM",D203))),"PARÇA DEĞİŞİMİ",""))</f>
        <v/>
      </c>
      <c r="G203" s="47">
        <f>IF(AND(D203&lt;&gt;"",E203&lt;&gt;"",D203&lt;&gt;E203),"GÜNCELLENDİ","")</f>
        <v/>
      </c>
      <c r="H203" s="48" t="n"/>
    </row>
    <row r="204">
      <c r="A204" s="47" t="n"/>
      <c r="B204" s="47" t="n"/>
      <c r="C204" s="47" t="n"/>
      <c r="D204" s="47" t="n"/>
      <c r="E204" s="47" t="n"/>
      <c r="F204" s="47">
        <f>IF(D204="","",IF(OR(ISNUMBER(SEARCH("PARÇA DEĞİŞ",D204)),ISNUMBER(SEARCH("PARCA DEGIS",D204)),ISNUMBER(SEARCH("DEĞİŞECEK",D204)),ISNUMBER(SEARCH("DEGISECEK",D204)),ISNUMBER(SEARCH("DEĞİŞİM",D204)),ISNUMBER(SEARCH("DEGISIM",D204))),"PARÇA DEĞİŞİMİ",""))</f>
        <v/>
      </c>
      <c r="G204" s="47">
        <f>IF(AND(D204&lt;&gt;"",E204&lt;&gt;"",D204&lt;&gt;E204),"GÜNCELLENDİ","")</f>
        <v/>
      </c>
      <c r="H204" s="48" t="n"/>
    </row>
    <row r="205">
      <c r="A205" s="47" t="n"/>
      <c r="B205" s="47" t="n"/>
      <c r="C205" s="47" t="n"/>
      <c r="D205" s="47" t="n"/>
      <c r="E205" s="47" t="n"/>
      <c r="F205" s="47">
        <f>IF(D205="","",IF(OR(ISNUMBER(SEARCH("PARÇA DEĞİŞ",D205)),ISNUMBER(SEARCH("PARCA DEGIS",D205)),ISNUMBER(SEARCH("DEĞİŞECEK",D205)),ISNUMBER(SEARCH("DEGISECEK",D205)),ISNUMBER(SEARCH("DEĞİŞİM",D205)),ISNUMBER(SEARCH("DEGISIM",D205))),"PARÇA DEĞİŞİMİ",""))</f>
        <v/>
      </c>
      <c r="G205" s="47">
        <f>IF(AND(D205&lt;&gt;"",E205&lt;&gt;"",D205&lt;&gt;E205),"GÜNCELLENDİ","")</f>
        <v/>
      </c>
      <c r="H205" s="48" t="n"/>
    </row>
    <row r="206">
      <c r="A206" s="47" t="n"/>
      <c r="B206" s="47" t="n"/>
      <c r="C206" s="47" t="n"/>
      <c r="D206" s="47" t="n"/>
      <c r="E206" s="47" t="n"/>
      <c r="F206" s="47">
        <f>IF(D206="","",IF(OR(ISNUMBER(SEARCH("PARÇA DEĞİŞ",D206)),ISNUMBER(SEARCH("PARCA DEGIS",D206)),ISNUMBER(SEARCH("DEĞİŞECEK",D206)),ISNUMBER(SEARCH("DEGISECEK",D206)),ISNUMBER(SEARCH("DEĞİŞİM",D206)),ISNUMBER(SEARCH("DEGISIM",D206))),"PARÇA DEĞİŞİMİ",""))</f>
        <v/>
      </c>
      <c r="G206" s="47">
        <f>IF(AND(D206&lt;&gt;"",E206&lt;&gt;"",D206&lt;&gt;E206),"GÜNCELLENDİ","")</f>
        <v/>
      </c>
      <c r="H206" s="48" t="n"/>
    </row>
    <row r="207">
      <c r="A207" s="47" t="n"/>
      <c r="B207" s="47" t="n"/>
      <c r="C207" s="47" t="n"/>
      <c r="D207" s="47" t="n"/>
      <c r="E207" s="47" t="n"/>
      <c r="F207" s="47">
        <f>IF(D207="","",IF(OR(ISNUMBER(SEARCH("PARÇA DEĞİŞ",D207)),ISNUMBER(SEARCH("PARCA DEGIS",D207)),ISNUMBER(SEARCH("DEĞİŞECEK",D207)),ISNUMBER(SEARCH("DEGISECEK",D207)),ISNUMBER(SEARCH("DEĞİŞİM",D207)),ISNUMBER(SEARCH("DEGISIM",D207))),"PARÇA DEĞİŞİMİ",""))</f>
        <v/>
      </c>
      <c r="G207" s="47">
        <f>IF(AND(D207&lt;&gt;"",E207&lt;&gt;"",D207&lt;&gt;E207),"GÜNCELLENDİ","")</f>
        <v/>
      </c>
      <c r="H207" s="48" t="n"/>
    </row>
    <row r="208">
      <c r="A208" s="47" t="n"/>
      <c r="B208" s="47" t="n"/>
      <c r="C208" s="47" t="n"/>
      <c r="D208" s="47" t="n"/>
      <c r="E208" s="47" t="n"/>
      <c r="F208" s="47">
        <f>IF(D208="","",IF(OR(ISNUMBER(SEARCH("PARÇA DEĞİŞ",D208)),ISNUMBER(SEARCH("PARCA DEGIS",D208)),ISNUMBER(SEARCH("DEĞİŞECEK",D208)),ISNUMBER(SEARCH("DEGISECEK",D208)),ISNUMBER(SEARCH("DEĞİŞİM",D208)),ISNUMBER(SEARCH("DEGISIM",D208))),"PARÇA DEĞİŞİMİ",""))</f>
        <v/>
      </c>
      <c r="G208" s="47">
        <f>IF(AND(D208&lt;&gt;"",E208&lt;&gt;"",D208&lt;&gt;E208),"GÜNCELLENDİ","")</f>
        <v/>
      </c>
      <c r="H208" s="48" t="n"/>
    </row>
    <row r="209">
      <c r="A209" s="47" t="n"/>
      <c r="B209" s="47" t="n"/>
      <c r="C209" s="47" t="n"/>
      <c r="D209" s="47" t="n"/>
      <c r="E209" s="47" t="n"/>
      <c r="F209" s="47">
        <f>IF(D209="","",IF(OR(ISNUMBER(SEARCH("PARÇA DEĞİŞ",D209)),ISNUMBER(SEARCH("PARCA DEGIS",D209)),ISNUMBER(SEARCH("DEĞİŞECEK",D209)),ISNUMBER(SEARCH("DEGISECEK",D209)),ISNUMBER(SEARCH("DEĞİŞİM",D209)),ISNUMBER(SEARCH("DEGISIM",D209))),"PARÇA DEĞİŞİMİ",""))</f>
        <v/>
      </c>
      <c r="G209" s="47">
        <f>IF(AND(D209&lt;&gt;"",E209&lt;&gt;"",D209&lt;&gt;E209),"GÜNCELLENDİ","")</f>
        <v/>
      </c>
      <c r="H209" s="48" t="n"/>
    </row>
    <row r="210">
      <c r="A210" s="47" t="n"/>
      <c r="B210" s="47" t="n"/>
      <c r="C210" s="47" t="n"/>
      <c r="D210" s="47" t="n"/>
      <c r="E210" s="47" t="n"/>
      <c r="F210" s="47">
        <f>IF(D210="","",IF(OR(ISNUMBER(SEARCH("PARÇA DEĞİŞ",D210)),ISNUMBER(SEARCH("PARCA DEGIS",D210)),ISNUMBER(SEARCH("DEĞİŞECEK",D210)),ISNUMBER(SEARCH("DEGISECEK",D210)),ISNUMBER(SEARCH("DEĞİŞİM",D210)),ISNUMBER(SEARCH("DEGISIM",D210))),"PARÇA DEĞİŞİMİ",""))</f>
        <v/>
      </c>
      <c r="G210" s="47">
        <f>IF(AND(D210&lt;&gt;"",E210&lt;&gt;"",D210&lt;&gt;E210),"GÜNCELLENDİ","")</f>
        <v/>
      </c>
      <c r="H210" s="48" t="n"/>
    </row>
    <row r="211">
      <c r="A211" s="47" t="n"/>
      <c r="B211" s="47" t="n"/>
      <c r="C211" s="47" t="n"/>
      <c r="D211" s="47" t="n"/>
      <c r="E211" s="47" t="n"/>
      <c r="F211" s="47">
        <f>IF(D211="","",IF(OR(ISNUMBER(SEARCH("PARÇA DEĞİŞ",D211)),ISNUMBER(SEARCH("PARCA DEGIS",D211)),ISNUMBER(SEARCH("DEĞİŞECEK",D211)),ISNUMBER(SEARCH("DEGISECEK",D211)),ISNUMBER(SEARCH("DEĞİŞİM",D211)),ISNUMBER(SEARCH("DEGISIM",D211))),"PARÇA DEĞİŞİMİ",""))</f>
        <v/>
      </c>
      <c r="G211" s="47">
        <f>IF(AND(D211&lt;&gt;"",E211&lt;&gt;"",D211&lt;&gt;E211),"GÜNCELLENDİ","")</f>
        <v/>
      </c>
      <c r="H211" s="48" t="n"/>
    </row>
    <row r="212">
      <c r="A212" s="47" t="n"/>
      <c r="B212" s="47" t="n"/>
      <c r="C212" s="47" t="n"/>
      <c r="D212" s="47" t="n"/>
      <c r="E212" s="47" t="n"/>
      <c r="F212" s="47">
        <f>IF(D212="","",IF(OR(ISNUMBER(SEARCH("PARÇA DEĞİŞ",D212)),ISNUMBER(SEARCH("PARCA DEGIS",D212)),ISNUMBER(SEARCH("DEĞİŞECEK",D212)),ISNUMBER(SEARCH("DEGISECEK",D212)),ISNUMBER(SEARCH("DEĞİŞİM",D212)),ISNUMBER(SEARCH("DEGISIM",D212))),"PARÇA DEĞİŞİMİ",""))</f>
        <v/>
      </c>
      <c r="G212" s="47">
        <f>IF(AND(D212&lt;&gt;"",E212&lt;&gt;"",D212&lt;&gt;E212),"GÜNCELLENDİ","")</f>
        <v/>
      </c>
      <c r="H212" s="48" t="n"/>
    </row>
    <row r="213">
      <c r="A213" s="47" t="n"/>
      <c r="B213" s="47" t="n"/>
      <c r="C213" s="47" t="n"/>
      <c r="D213" s="47" t="n"/>
      <c r="E213" s="47" t="n"/>
      <c r="F213" s="47">
        <f>IF(D213="","",IF(OR(ISNUMBER(SEARCH("PARÇA DEĞİŞ",D213)),ISNUMBER(SEARCH("PARCA DEGIS",D213)),ISNUMBER(SEARCH("DEĞİŞECEK",D213)),ISNUMBER(SEARCH("DEGISECEK",D213)),ISNUMBER(SEARCH("DEĞİŞİM",D213)),ISNUMBER(SEARCH("DEGISIM",D213))),"PARÇA DEĞİŞİMİ",""))</f>
        <v/>
      </c>
      <c r="G213" s="47">
        <f>IF(AND(D213&lt;&gt;"",E213&lt;&gt;"",D213&lt;&gt;E213),"GÜNCELLENDİ","")</f>
        <v/>
      </c>
      <c r="H213" s="48" t="n"/>
    </row>
    <row r="214">
      <c r="A214" s="47" t="n"/>
      <c r="B214" s="47" t="n"/>
      <c r="C214" s="47" t="n"/>
      <c r="D214" s="47" t="n"/>
      <c r="E214" s="47" t="n"/>
      <c r="F214" s="47">
        <f>IF(D214="","",IF(OR(ISNUMBER(SEARCH("PARÇA DEĞİŞ",D214)),ISNUMBER(SEARCH("PARCA DEGIS",D214)),ISNUMBER(SEARCH("DEĞİŞECEK",D214)),ISNUMBER(SEARCH("DEGISECEK",D214)),ISNUMBER(SEARCH("DEĞİŞİM",D214)),ISNUMBER(SEARCH("DEGISIM",D214))),"PARÇA DEĞİŞİMİ",""))</f>
        <v/>
      </c>
      <c r="G214" s="47">
        <f>IF(AND(D214&lt;&gt;"",E214&lt;&gt;"",D214&lt;&gt;E214),"GÜNCELLENDİ","")</f>
        <v/>
      </c>
      <c r="H214" s="48" t="n"/>
    </row>
    <row r="215">
      <c r="A215" s="47" t="n"/>
      <c r="B215" s="47" t="n"/>
      <c r="C215" s="47" t="n"/>
      <c r="D215" s="47" t="n"/>
      <c r="E215" s="47" t="n"/>
      <c r="F215" s="47">
        <f>IF(D215="","",IF(OR(ISNUMBER(SEARCH("PARÇA DEĞİŞ",D215)),ISNUMBER(SEARCH("PARCA DEGIS",D215)),ISNUMBER(SEARCH("DEĞİŞECEK",D215)),ISNUMBER(SEARCH("DEGISECEK",D215)),ISNUMBER(SEARCH("DEĞİŞİM",D215)),ISNUMBER(SEARCH("DEGISIM",D215))),"PARÇA DEĞİŞİMİ",""))</f>
        <v/>
      </c>
      <c r="G215" s="47">
        <f>IF(AND(D215&lt;&gt;"",E215&lt;&gt;"",D215&lt;&gt;E215),"GÜNCELLENDİ","")</f>
        <v/>
      </c>
      <c r="H215" s="48" t="n"/>
    </row>
    <row r="216">
      <c r="A216" s="47" t="n"/>
      <c r="B216" s="47" t="n"/>
      <c r="C216" s="47" t="n"/>
      <c r="D216" s="47" t="n"/>
      <c r="E216" s="47" t="n"/>
      <c r="F216" s="47">
        <f>IF(D216="","",IF(OR(ISNUMBER(SEARCH("PARÇA DEĞİŞ",D216)),ISNUMBER(SEARCH("PARCA DEGIS",D216)),ISNUMBER(SEARCH("DEĞİŞECEK",D216)),ISNUMBER(SEARCH("DEGISECEK",D216)),ISNUMBER(SEARCH("DEĞİŞİM",D216)),ISNUMBER(SEARCH("DEGISIM",D216))),"PARÇA DEĞİŞİMİ",""))</f>
        <v/>
      </c>
      <c r="G216" s="47">
        <f>IF(AND(D216&lt;&gt;"",E216&lt;&gt;"",D216&lt;&gt;E216),"GÜNCELLENDİ","")</f>
        <v/>
      </c>
      <c r="H216" s="48" t="n"/>
    </row>
    <row r="217">
      <c r="A217" s="47" t="n"/>
      <c r="B217" s="47" t="n"/>
      <c r="C217" s="47" t="n"/>
      <c r="D217" s="47" t="n"/>
      <c r="E217" s="47" t="n"/>
      <c r="F217" s="47">
        <f>IF(D217="","",IF(OR(ISNUMBER(SEARCH("PARÇA DEĞİŞ",D217)),ISNUMBER(SEARCH("PARCA DEGIS",D217)),ISNUMBER(SEARCH("DEĞİŞECEK",D217)),ISNUMBER(SEARCH("DEGISECEK",D217)),ISNUMBER(SEARCH("DEĞİŞİM",D217)),ISNUMBER(SEARCH("DEGISIM",D217))),"PARÇA DEĞİŞİMİ",""))</f>
        <v/>
      </c>
      <c r="G217" s="47">
        <f>IF(AND(D217&lt;&gt;"",E217&lt;&gt;"",D217&lt;&gt;E217),"GÜNCELLENDİ","")</f>
        <v/>
      </c>
      <c r="H217" s="48" t="n"/>
    </row>
    <row r="218">
      <c r="A218" s="47" t="n"/>
      <c r="B218" s="47" t="n"/>
      <c r="C218" s="47" t="n"/>
      <c r="D218" s="47" t="n"/>
      <c r="E218" s="47" t="n"/>
      <c r="F218" s="47">
        <f>IF(D218="","",IF(OR(ISNUMBER(SEARCH("PARÇA DEĞİŞ",D218)),ISNUMBER(SEARCH("PARCA DEGIS",D218)),ISNUMBER(SEARCH("DEĞİŞECEK",D218)),ISNUMBER(SEARCH("DEGISECEK",D218)),ISNUMBER(SEARCH("DEĞİŞİM",D218)),ISNUMBER(SEARCH("DEGISIM",D218))),"PARÇA DEĞİŞİMİ",""))</f>
        <v/>
      </c>
      <c r="G218" s="47">
        <f>IF(AND(D218&lt;&gt;"",E218&lt;&gt;"",D218&lt;&gt;E218),"GÜNCELLENDİ","")</f>
        <v/>
      </c>
      <c r="H218" s="48" t="n"/>
    </row>
    <row r="219">
      <c r="A219" s="47" t="n"/>
      <c r="B219" s="47" t="n"/>
      <c r="C219" s="47" t="n"/>
      <c r="D219" s="47" t="n"/>
      <c r="E219" s="47" t="n"/>
      <c r="F219" s="47">
        <f>IF(D219="","",IF(OR(ISNUMBER(SEARCH("PARÇA DEĞİŞ",D219)),ISNUMBER(SEARCH("PARCA DEGIS",D219)),ISNUMBER(SEARCH("DEĞİŞECEK",D219)),ISNUMBER(SEARCH("DEGISECEK",D219)),ISNUMBER(SEARCH("DEĞİŞİM",D219)),ISNUMBER(SEARCH("DEGISIM",D219))),"PARÇA DEĞİŞİMİ",""))</f>
        <v/>
      </c>
      <c r="G219" s="47">
        <f>IF(AND(D219&lt;&gt;"",E219&lt;&gt;"",D219&lt;&gt;E219),"GÜNCELLENDİ","")</f>
        <v/>
      </c>
      <c r="H219" s="48" t="n"/>
    </row>
    <row r="220">
      <c r="A220" s="47" t="n"/>
      <c r="B220" s="47" t="n"/>
      <c r="C220" s="47" t="n"/>
      <c r="D220" s="47" t="n"/>
      <c r="E220" s="47" t="n"/>
      <c r="F220" s="47">
        <f>IF(D220="","",IF(OR(ISNUMBER(SEARCH("PARÇA DEĞİŞ",D220)),ISNUMBER(SEARCH("PARCA DEGIS",D220)),ISNUMBER(SEARCH("DEĞİŞECEK",D220)),ISNUMBER(SEARCH("DEGISECEK",D220)),ISNUMBER(SEARCH("DEĞİŞİM",D220)),ISNUMBER(SEARCH("DEGISIM",D220))),"PARÇA DEĞİŞİMİ",""))</f>
        <v/>
      </c>
      <c r="G220" s="47">
        <f>IF(AND(D220&lt;&gt;"",E220&lt;&gt;"",D220&lt;&gt;E220),"GÜNCELLENDİ","")</f>
        <v/>
      </c>
      <c r="H220" s="48" t="n"/>
    </row>
    <row r="221">
      <c r="A221" s="47" t="n"/>
      <c r="B221" s="47" t="n"/>
      <c r="C221" s="47" t="n"/>
      <c r="D221" s="47" t="n"/>
      <c r="E221" s="47" t="n"/>
      <c r="F221" s="47">
        <f>IF(D221="","",IF(OR(ISNUMBER(SEARCH("PARÇA DEĞİŞ",D221)),ISNUMBER(SEARCH("PARCA DEGIS",D221)),ISNUMBER(SEARCH("DEĞİŞECEK",D221)),ISNUMBER(SEARCH("DEGISECEK",D221)),ISNUMBER(SEARCH("DEĞİŞİM",D221)),ISNUMBER(SEARCH("DEGISIM",D221))),"PARÇA DEĞİŞİMİ",""))</f>
        <v/>
      </c>
      <c r="G221" s="47">
        <f>IF(AND(D221&lt;&gt;"",E221&lt;&gt;"",D221&lt;&gt;E221),"GÜNCELLENDİ","")</f>
        <v/>
      </c>
      <c r="H221" s="48" t="n"/>
    </row>
    <row r="222">
      <c r="A222" s="47" t="n"/>
      <c r="B222" s="47" t="n"/>
      <c r="C222" s="47" t="n"/>
      <c r="D222" s="47" t="n"/>
      <c r="E222" s="47" t="n"/>
      <c r="F222" s="47">
        <f>IF(D222="","",IF(OR(ISNUMBER(SEARCH("PARÇA DEĞİŞ",D222)),ISNUMBER(SEARCH("PARCA DEGIS",D222)),ISNUMBER(SEARCH("DEĞİŞECEK",D222)),ISNUMBER(SEARCH("DEGISECEK",D222)),ISNUMBER(SEARCH("DEĞİŞİM",D222)),ISNUMBER(SEARCH("DEGISIM",D222))),"PARÇA DEĞİŞİMİ",""))</f>
        <v/>
      </c>
      <c r="G222" s="47">
        <f>IF(AND(D222&lt;&gt;"",E222&lt;&gt;"",D222&lt;&gt;E222),"GÜNCELLENDİ","")</f>
        <v/>
      </c>
      <c r="H222" s="48" t="n"/>
    </row>
    <row r="223">
      <c r="A223" s="47" t="n"/>
      <c r="B223" s="47" t="n"/>
      <c r="C223" s="47" t="n"/>
      <c r="D223" s="47" t="n"/>
      <c r="E223" s="47" t="n"/>
      <c r="F223" s="47">
        <f>IF(D223="","",IF(OR(ISNUMBER(SEARCH("PARÇA DEĞİŞ",D223)),ISNUMBER(SEARCH("PARCA DEGIS",D223)),ISNUMBER(SEARCH("DEĞİŞECEK",D223)),ISNUMBER(SEARCH("DEGISECEK",D223)),ISNUMBER(SEARCH("DEĞİŞİM",D223)),ISNUMBER(SEARCH("DEGISIM",D223))),"PARÇA DEĞİŞİMİ",""))</f>
        <v/>
      </c>
      <c r="G223" s="47">
        <f>IF(AND(D223&lt;&gt;"",E223&lt;&gt;"",D223&lt;&gt;E223),"GÜNCELLENDİ","")</f>
        <v/>
      </c>
      <c r="H223" s="48" t="n"/>
    </row>
    <row r="224">
      <c r="A224" s="47" t="n"/>
      <c r="B224" s="47" t="n"/>
      <c r="C224" s="47" t="n"/>
      <c r="D224" s="47" t="n"/>
      <c r="E224" s="47" t="n"/>
      <c r="F224" s="47">
        <f>IF(D224="","",IF(OR(ISNUMBER(SEARCH("PARÇA DEĞİŞ",D224)),ISNUMBER(SEARCH("PARCA DEGIS",D224)),ISNUMBER(SEARCH("DEĞİŞECEK",D224)),ISNUMBER(SEARCH("DEGISECEK",D224)),ISNUMBER(SEARCH("DEĞİŞİM",D224)),ISNUMBER(SEARCH("DEGISIM",D224))),"PARÇA DEĞİŞİMİ",""))</f>
        <v/>
      </c>
      <c r="G224" s="47">
        <f>IF(AND(D224&lt;&gt;"",E224&lt;&gt;"",D224&lt;&gt;E224),"GÜNCELLENDİ","")</f>
        <v/>
      </c>
      <c r="H224" s="48" t="n"/>
    </row>
    <row r="225">
      <c r="A225" s="47" t="n"/>
      <c r="B225" s="47" t="n"/>
      <c r="C225" s="47" t="n"/>
      <c r="D225" s="47" t="n"/>
      <c r="E225" s="47" t="n"/>
      <c r="F225" s="47">
        <f>IF(D225="","",IF(OR(ISNUMBER(SEARCH("PARÇA DEĞİŞ",D225)),ISNUMBER(SEARCH("PARCA DEGIS",D225)),ISNUMBER(SEARCH("DEĞİŞECEK",D225)),ISNUMBER(SEARCH("DEGISECEK",D225)),ISNUMBER(SEARCH("DEĞİŞİM",D225)),ISNUMBER(SEARCH("DEGISIM",D225))),"PARÇA DEĞİŞİMİ",""))</f>
        <v/>
      </c>
      <c r="G225" s="47">
        <f>IF(AND(D225&lt;&gt;"",E225&lt;&gt;"",D225&lt;&gt;E225),"GÜNCELLENDİ","")</f>
        <v/>
      </c>
      <c r="H225" s="48" t="n"/>
    </row>
    <row r="226">
      <c r="A226" s="47" t="n"/>
      <c r="B226" s="47" t="n"/>
      <c r="C226" s="47" t="n"/>
      <c r="D226" s="47" t="n"/>
      <c r="E226" s="47" t="n"/>
      <c r="F226" s="47">
        <f>IF(D226="","",IF(OR(ISNUMBER(SEARCH("PARÇA DEĞİŞ",D226)),ISNUMBER(SEARCH("PARCA DEGIS",D226)),ISNUMBER(SEARCH("DEĞİŞECEK",D226)),ISNUMBER(SEARCH("DEGISECEK",D226)),ISNUMBER(SEARCH("DEĞİŞİM",D226)),ISNUMBER(SEARCH("DEGISIM",D226))),"PARÇA DEĞİŞİMİ",""))</f>
        <v/>
      </c>
      <c r="G226" s="47">
        <f>IF(AND(D226&lt;&gt;"",E226&lt;&gt;"",D226&lt;&gt;E226),"GÜNCELLENDİ","")</f>
        <v/>
      </c>
      <c r="H226" s="48" t="n"/>
    </row>
    <row r="227">
      <c r="A227" s="47" t="n"/>
      <c r="B227" s="47" t="n"/>
      <c r="C227" s="47" t="n"/>
      <c r="D227" s="47" t="n"/>
      <c r="E227" s="47" t="n"/>
      <c r="F227" s="47">
        <f>IF(D227="","",IF(OR(ISNUMBER(SEARCH("PARÇA DEĞİŞ",D227)),ISNUMBER(SEARCH("PARCA DEGIS",D227)),ISNUMBER(SEARCH("DEĞİŞECEK",D227)),ISNUMBER(SEARCH("DEGISECEK",D227)),ISNUMBER(SEARCH("DEĞİŞİM",D227)),ISNUMBER(SEARCH("DEGISIM",D227))),"PARÇA DEĞİŞİMİ",""))</f>
        <v/>
      </c>
      <c r="G227" s="47">
        <f>IF(AND(D227&lt;&gt;"",E227&lt;&gt;"",D227&lt;&gt;E227),"GÜNCELLENDİ","")</f>
        <v/>
      </c>
      <c r="H227" s="48" t="n"/>
    </row>
    <row r="228">
      <c r="A228" s="47" t="n"/>
      <c r="B228" s="47" t="n"/>
      <c r="C228" s="47" t="n"/>
      <c r="D228" s="47" t="n"/>
      <c r="E228" s="47" t="n"/>
      <c r="F228" s="47">
        <f>IF(D228="","",IF(OR(ISNUMBER(SEARCH("PARÇA DEĞİŞ",D228)),ISNUMBER(SEARCH("PARCA DEGIS",D228)),ISNUMBER(SEARCH("DEĞİŞECEK",D228)),ISNUMBER(SEARCH("DEGISECEK",D228)),ISNUMBER(SEARCH("DEĞİŞİM",D228)),ISNUMBER(SEARCH("DEGISIM",D228))),"PARÇA DEĞİŞİMİ",""))</f>
        <v/>
      </c>
      <c r="G228" s="47">
        <f>IF(AND(D228&lt;&gt;"",E228&lt;&gt;"",D228&lt;&gt;E228),"GÜNCELLENDİ","")</f>
        <v/>
      </c>
      <c r="H228" s="48" t="n"/>
    </row>
    <row r="229">
      <c r="A229" s="47" t="n"/>
      <c r="B229" s="47" t="n"/>
      <c r="C229" s="47" t="n"/>
      <c r="D229" s="47" t="n"/>
      <c r="E229" s="47" t="n"/>
      <c r="F229" s="47">
        <f>IF(D229="","",IF(OR(ISNUMBER(SEARCH("PARÇA DEĞİŞ",D229)),ISNUMBER(SEARCH("PARCA DEGIS",D229)),ISNUMBER(SEARCH("DEĞİŞECEK",D229)),ISNUMBER(SEARCH("DEGISECEK",D229)),ISNUMBER(SEARCH("DEĞİŞİM",D229)),ISNUMBER(SEARCH("DEGISIM",D229))),"PARÇA DEĞİŞİMİ",""))</f>
        <v/>
      </c>
      <c r="G229" s="47">
        <f>IF(AND(D229&lt;&gt;"",E229&lt;&gt;"",D229&lt;&gt;E229),"GÜNCELLENDİ","")</f>
        <v/>
      </c>
      <c r="H229" s="48" t="n"/>
    </row>
    <row r="230">
      <c r="A230" s="47" t="n"/>
      <c r="B230" s="47" t="n"/>
      <c r="C230" s="47" t="n"/>
      <c r="D230" s="47" t="n"/>
      <c r="E230" s="47" t="n"/>
      <c r="F230" s="47">
        <f>IF(D230="","",IF(OR(ISNUMBER(SEARCH("PARÇA DEĞİŞ",D230)),ISNUMBER(SEARCH("PARCA DEGIS",D230)),ISNUMBER(SEARCH("DEĞİŞECEK",D230)),ISNUMBER(SEARCH("DEGISECEK",D230)),ISNUMBER(SEARCH("DEĞİŞİM",D230)),ISNUMBER(SEARCH("DEGISIM",D230))),"PARÇA DEĞİŞİMİ",""))</f>
        <v/>
      </c>
      <c r="G230" s="47">
        <f>IF(AND(D230&lt;&gt;"",E230&lt;&gt;"",D230&lt;&gt;E230),"GÜNCELLENDİ","")</f>
        <v/>
      </c>
      <c r="H230" s="48" t="n"/>
    </row>
    <row r="231">
      <c r="A231" s="47" t="n"/>
      <c r="B231" s="47" t="n"/>
      <c r="C231" s="47" t="n"/>
      <c r="D231" s="47" t="n"/>
      <c r="E231" s="47" t="n"/>
      <c r="F231" s="47">
        <f>IF(D231="","",IF(OR(ISNUMBER(SEARCH("PARÇA DEĞİŞ",D231)),ISNUMBER(SEARCH("PARCA DEGIS",D231)),ISNUMBER(SEARCH("DEĞİŞECEK",D231)),ISNUMBER(SEARCH("DEGISECEK",D231)),ISNUMBER(SEARCH("DEĞİŞİM",D231)),ISNUMBER(SEARCH("DEGISIM",D231))),"PARÇA DEĞİŞİMİ",""))</f>
        <v/>
      </c>
      <c r="G231" s="47">
        <f>IF(AND(D231&lt;&gt;"",E231&lt;&gt;"",D231&lt;&gt;E231),"GÜNCELLENDİ","")</f>
        <v/>
      </c>
      <c r="H231" s="48" t="n"/>
    </row>
    <row r="232">
      <c r="A232" s="47" t="n"/>
      <c r="B232" s="47" t="n"/>
      <c r="C232" s="47" t="n"/>
      <c r="D232" s="47" t="n"/>
      <c r="E232" s="47" t="n"/>
      <c r="F232" s="47">
        <f>IF(D232="","",IF(OR(ISNUMBER(SEARCH("PARÇA DEĞİŞ",D232)),ISNUMBER(SEARCH("PARCA DEGIS",D232)),ISNUMBER(SEARCH("DEĞİŞECEK",D232)),ISNUMBER(SEARCH("DEGISECEK",D232)),ISNUMBER(SEARCH("DEĞİŞİM",D232)),ISNUMBER(SEARCH("DEGISIM",D232))),"PARÇA DEĞİŞİMİ",""))</f>
        <v/>
      </c>
      <c r="G232" s="47">
        <f>IF(AND(D232&lt;&gt;"",E232&lt;&gt;"",D232&lt;&gt;E232),"GÜNCELLENDİ","")</f>
        <v/>
      </c>
      <c r="H232" s="48" t="n"/>
    </row>
    <row r="233">
      <c r="A233" s="47" t="n"/>
      <c r="B233" s="47" t="n"/>
      <c r="C233" s="47" t="n"/>
      <c r="D233" s="47" t="n"/>
      <c r="E233" s="47" t="n"/>
      <c r="F233" s="47">
        <f>IF(D233="","",IF(OR(ISNUMBER(SEARCH("PARÇA DEĞİŞ",D233)),ISNUMBER(SEARCH("PARCA DEGIS",D233)),ISNUMBER(SEARCH("DEĞİŞECEK",D233)),ISNUMBER(SEARCH("DEGISECEK",D233)),ISNUMBER(SEARCH("DEĞİŞİM",D233)),ISNUMBER(SEARCH("DEGISIM",D233))),"PARÇA DEĞİŞİMİ",""))</f>
        <v/>
      </c>
      <c r="G233" s="47">
        <f>IF(AND(D233&lt;&gt;"",E233&lt;&gt;"",D233&lt;&gt;E233),"GÜNCELLENDİ","")</f>
        <v/>
      </c>
      <c r="H233" s="48" t="n"/>
    </row>
    <row r="234">
      <c r="A234" s="47" t="n"/>
      <c r="B234" s="47" t="n"/>
      <c r="C234" s="47" t="n"/>
      <c r="D234" s="47" t="n"/>
      <c r="E234" s="47" t="n"/>
      <c r="F234" s="47">
        <f>IF(D234="","",IF(OR(ISNUMBER(SEARCH("PARÇA DEĞİŞ",D234)),ISNUMBER(SEARCH("PARCA DEGIS",D234)),ISNUMBER(SEARCH("DEĞİŞECEK",D234)),ISNUMBER(SEARCH("DEGISECEK",D234)),ISNUMBER(SEARCH("DEĞİŞİM",D234)),ISNUMBER(SEARCH("DEGISIM",D234))),"PARÇA DEĞİŞİMİ",""))</f>
        <v/>
      </c>
      <c r="G234" s="47">
        <f>IF(AND(D234&lt;&gt;"",E234&lt;&gt;"",D234&lt;&gt;E234),"GÜNCELLENDİ","")</f>
        <v/>
      </c>
      <c r="H234" s="48" t="n"/>
    </row>
    <row r="235">
      <c r="A235" s="47" t="n"/>
      <c r="B235" s="47" t="n"/>
      <c r="C235" s="47" t="n"/>
      <c r="D235" s="47" t="n"/>
      <c r="E235" s="47" t="n"/>
      <c r="F235" s="47">
        <f>IF(D235="","",IF(OR(ISNUMBER(SEARCH("PARÇA DEĞİŞ",D235)),ISNUMBER(SEARCH("PARCA DEGIS",D235)),ISNUMBER(SEARCH("DEĞİŞECEK",D235)),ISNUMBER(SEARCH("DEGISECEK",D235)),ISNUMBER(SEARCH("DEĞİŞİM",D235)),ISNUMBER(SEARCH("DEGISIM",D235))),"PARÇA DEĞİŞİMİ",""))</f>
        <v/>
      </c>
      <c r="G235" s="47">
        <f>IF(AND(D235&lt;&gt;"",E235&lt;&gt;"",D235&lt;&gt;E235),"GÜNCELLENDİ","")</f>
        <v/>
      </c>
      <c r="H235" s="48" t="n"/>
    </row>
    <row r="236">
      <c r="A236" s="47" t="n"/>
      <c r="B236" s="47" t="n"/>
      <c r="C236" s="47" t="n"/>
      <c r="D236" s="47" t="n"/>
      <c r="E236" s="47" t="n"/>
      <c r="F236" s="47">
        <f>IF(D236="","",IF(OR(ISNUMBER(SEARCH("PARÇA DEĞİŞ",D236)),ISNUMBER(SEARCH("PARCA DEGIS",D236)),ISNUMBER(SEARCH("DEĞİŞECEK",D236)),ISNUMBER(SEARCH("DEGISECEK",D236)),ISNUMBER(SEARCH("DEĞİŞİM",D236)),ISNUMBER(SEARCH("DEGISIM",D236))),"PARÇA DEĞİŞİMİ",""))</f>
        <v/>
      </c>
      <c r="G236" s="47">
        <f>IF(AND(D236&lt;&gt;"",E236&lt;&gt;"",D236&lt;&gt;E236),"GÜNCELLENDİ","")</f>
        <v/>
      </c>
      <c r="H236" s="48" t="n"/>
    </row>
    <row r="237">
      <c r="A237" s="47" t="n"/>
      <c r="B237" s="47" t="n"/>
      <c r="C237" s="47" t="n"/>
      <c r="D237" s="47" t="n"/>
      <c r="E237" s="47" t="n"/>
      <c r="F237" s="47">
        <f>IF(D237="","",IF(OR(ISNUMBER(SEARCH("PARÇA DEĞİŞ",D237)),ISNUMBER(SEARCH("PARCA DEGIS",D237)),ISNUMBER(SEARCH("DEĞİŞECEK",D237)),ISNUMBER(SEARCH("DEGISECEK",D237)),ISNUMBER(SEARCH("DEĞİŞİM",D237)),ISNUMBER(SEARCH("DEGISIM",D237))),"PARÇA DEĞİŞİMİ",""))</f>
        <v/>
      </c>
      <c r="G237" s="47">
        <f>IF(AND(D237&lt;&gt;"",E237&lt;&gt;"",D237&lt;&gt;E237),"GÜNCELLENDİ","")</f>
        <v/>
      </c>
      <c r="H237" s="48" t="n"/>
    </row>
    <row r="238">
      <c r="A238" s="47" t="n"/>
      <c r="B238" s="47" t="n"/>
      <c r="C238" s="47" t="n"/>
      <c r="D238" s="47" t="n"/>
      <c r="E238" s="47" t="n"/>
      <c r="F238" s="47">
        <f>IF(D238="","",IF(OR(ISNUMBER(SEARCH("PARÇA DEĞİŞ",D238)),ISNUMBER(SEARCH("PARCA DEGIS",D238)),ISNUMBER(SEARCH("DEĞİŞECEK",D238)),ISNUMBER(SEARCH("DEGISECEK",D238)),ISNUMBER(SEARCH("DEĞİŞİM",D238)),ISNUMBER(SEARCH("DEGISIM",D238))),"PARÇA DEĞİŞİMİ",""))</f>
        <v/>
      </c>
      <c r="G238" s="47">
        <f>IF(AND(D238&lt;&gt;"",E238&lt;&gt;"",D238&lt;&gt;E238),"GÜNCELLENDİ","")</f>
        <v/>
      </c>
      <c r="H238" s="48" t="n"/>
    </row>
    <row r="239">
      <c r="A239" s="47" t="n"/>
      <c r="B239" s="47" t="n"/>
      <c r="C239" s="47" t="n"/>
      <c r="D239" s="47" t="n"/>
      <c r="E239" s="47" t="n"/>
      <c r="F239" s="47">
        <f>IF(D239="","",IF(OR(ISNUMBER(SEARCH("PARÇA DEĞİŞ",D239)),ISNUMBER(SEARCH("PARCA DEGIS",D239)),ISNUMBER(SEARCH("DEĞİŞECEK",D239)),ISNUMBER(SEARCH("DEGISECEK",D239)),ISNUMBER(SEARCH("DEĞİŞİM",D239)),ISNUMBER(SEARCH("DEGISIM",D239))),"PARÇA DEĞİŞİMİ",""))</f>
        <v/>
      </c>
      <c r="G239" s="47">
        <f>IF(AND(D239&lt;&gt;"",E239&lt;&gt;"",D239&lt;&gt;E239),"GÜNCELLENDİ","")</f>
        <v/>
      </c>
      <c r="H239" s="48" t="n"/>
    </row>
    <row r="240">
      <c r="A240" s="47" t="n"/>
      <c r="B240" s="47" t="n"/>
      <c r="C240" s="47" t="n"/>
      <c r="D240" s="47" t="n"/>
      <c r="E240" s="47" t="n"/>
      <c r="F240" s="47">
        <f>IF(D240="","",IF(OR(ISNUMBER(SEARCH("PARÇA DEĞİŞ",D240)),ISNUMBER(SEARCH("PARCA DEGIS",D240)),ISNUMBER(SEARCH("DEĞİŞECEK",D240)),ISNUMBER(SEARCH("DEGISECEK",D240)),ISNUMBER(SEARCH("DEĞİŞİM",D240)),ISNUMBER(SEARCH("DEGISIM",D240))),"PARÇA DEĞİŞİMİ",""))</f>
        <v/>
      </c>
      <c r="G240" s="47">
        <f>IF(AND(D240&lt;&gt;"",E240&lt;&gt;"",D240&lt;&gt;E240),"GÜNCELLENDİ","")</f>
        <v/>
      </c>
      <c r="H240" s="48" t="n"/>
    </row>
    <row r="241">
      <c r="A241" s="47" t="n"/>
      <c r="B241" s="47" t="n"/>
      <c r="C241" s="47" t="n"/>
      <c r="D241" s="47" t="n"/>
      <c r="E241" s="47" t="n"/>
      <c r="F241" s="47">
        <f>IF(D241="","",IF(OR(ISNUMBER(SEARCH("PARÇA DEĞİŞ",D241)),ISNUMBER(SEARCH("PARCA DEGIS",D241)),ISNUMBER(SEARCH("DEĞİŞECEK",D241)),ISNUMBER(SEARCH("DEGISECEK",D241)),ISNUMBER(SEARCH("DEĞİŞİM",D241)),ISNUMBER(SEARCH("DEGISIM",D241))),"PARÇA DEĞİŞİMİ",""))</f>
        <v/>
      </c>
      <c r="G241" s="47">
        <f>IF(AND(D241&lt;&gt;"",E241&lt;&gt;"",D241&lt;&gt;E241),"GÜNCELLENDİ","")</f>
        <v/>
      </c>
      <c r="H241" s="48" t="n"/>
    </row>
    <row r="242">
      <c r="A242" s="47" t="n"/>
      <c r="B242" s="47" t="n"/>
      <c r="C242" s="47" t="n"/>
      <c r="D242" s="47" t="n"/>
      <c r="E242" s="47" t="n"/>
      <c r="F242" s="47">
        <f>IF(D242="","",IF(OR(ISNUMBER(SEARCH("PARÇA DEĞİŞ",D242)),ISNUMBER(SEARCH("PARCA DEGIS",D242)),ISNUMBER(SEARCH("DEĞİŞECEK",D242)),ISNUMBER(SEARCH("DEGISECEK",D242)),ISNUMBER(SEARCH("DEĞİŞİM",D242)),ISNUMBER(SEARCH("DEGISIM",D242))),"PARÇA DEĞİŞİMİ",""))</f>
        <v/>
      </c>
      <c r="G242" s="47">
        <f>IF(AND(D242&lt;&gt;"",E242&lt;&gt;"",D242&lt;&gt;E242),"GÜNCELLENDİ","")</f>
        <v/>
      </c>
      <c r="H242" s="48" t="n"/>
    </row>
    <row r="243">
      <c r="A243" s="47" t="n"/>
      <c r="B243" s="47" t="n"/>
      <c r="C243" s="47" t="n"/>
      <c r="D243" s="47" t="n"/>
      <c r="E243" s="47" t="n"/>
      <c r="F243" s="47">
        <f>IF(D243="","",IF(OR(ISNUMBER(SEARCH("PARÇA DEĞİŞ",D243)),ISNUMBER(SEARCH("PARCA DEGIS",D243)),ISNUMBER(SEARCH("DEĞİŞECEK",D243)),ISNUMBER(SEARCH("DEGISECEK",D243)),ISNUMBER(SEARCH("DEĞİŞİM",D243)),ISNUMBER(SEARCH("DEGISIM",D243))),"PARÇA DEĞİŞİMİ",""))</f>
        <v/>
      </c>
      <c r="G243" s="47">
        <f>IF(AND(D243&lt;&gt;"",E243&lt;&gt;"",D243&lt;&gt;E243),"GÜNCELLENDİ","")</f>
        <v/>
      </c>
      <c r="H243" s="48" t="n"/>
    </row>
    <row r="244">
      <c r="A244" s="47" t="n"/>
      <c r="B244" s="47" t="n"/>
      <c r="C244" s="47" t="n"/>
      <c r="D244" s="47" t="n"/>
      <c r="E244" s="47" t="n"/>
      <c r="F244" s="47">
        <f>IF(D244="","",IF(OR(ISNUMBER(SEARCH("PARÇA DEĞİŞ",D244)),ISNUMBER(SEARCH("PARCA DEGIS",D244)),ISNUMBER(SEARCH("DEĞİŞECEK",D244)),ISNUMBER(SEARCH("DEGISECEK",D244)),ISNUMBER(SEARCH("DEĞİŞİM",D244)),ISNUMBER(SEARCH("DEGISIM",D244))),"PARÇA DEĞİŞİMİ",""))</f>
        <v/>
      </c>
      <c r="G244" s="47">
        <f>IF(AND(D244&lt;&gt;"",E244&lt;&gt;"",D244&lt;&gt;E244),"GÜNCELLENDİ","")</f>
        <v/>
      </c>
      <c r="H244" s="48" t="n"/>
    </row>
    <row r="245">
      <c r="A245" s="47" t="n"/>
      <c r="B245" s="47" t="n"/>
      <c r="C245" s="47" t="n"/>
      <c r="D245" s="47" t="n"/>
      <c r="E245" s="47" t="n"/>
      <c r="F245" s="47">
        <f>IF(D245="","",IF(OR(ISNUMBER(SEARCH("PARÇA DEĞİŞ",D245)),ISNUMBER(SEARCH("PARCA DEGIS",D245)),ISNUMBER(SEARCH("DEĞİŞECEK",D245)),ISNUMBER(SEARCH("DEGISECEK",D245)),ISNUMBER(SEARCH("DEĞİŞİM",D245)),ISNUMBER(SEARCH("DEGISIM",D245))),"PARÇA DEĞİŞİMİ",""))</f>
        <v/>
      </c>
      <c r="G245" s="47">
        <f>IF(AND(D245&lt;&gt;"",E245&lt;&gt;"",D245&lt;&gt;E245),"GÜNCELLENDİ","")</f>
        <v/>
      </c>
      <c r="H245" s="48" t="n"/>
    </row>
    <row r="246">
      <c r="A246" s="47" t="n"/>
      <c r="B246" s="47" t="n"/>
      <c r="C246" s="47" t="n"/>
      <c r="D246" s="47" t="n"/>
      <c r="E246" s="47" t="n"/>
      <c r="F246" s="47">
        <f>IF(D246="","",IF(OR(ISNUMBER(SEARCH("PARÇA DEĞİŞ",D246)),ISNUMBER(SEARCH("PARCA DEGIS",D246)),ISNUMBER(SEARCH("DEĞİŞECEK",D246)),ISNUMBER(SEARCH("DEGISECEK",D246)),ISNUMBER(SEARCH("DEĞİŞİM",D246)),ISNUMBER(SEARCH("DEGISIM",D246))),"PARÇA DEĞİŞİMİ",""))</f>
        <v/>
      </c>
      <c r="G246" s="47">
        <f>IF(AND(D246&lt;&gt;"",E246&lt;&gt;"",D246&lt;&gt;E246),"GÜNCELLENDİ","")</f>
        <v/>
      </c>
      <c r="H246" s="48" t="n"/>
    </row>
    <row r="247">
      <c r="A247" s="47" t="n"/>
      <c r="B247" s="47" t="n"/>
      <c r="C247" s="47" t="n"/>
      <c r="D247" s="47" t="n"/>
      <c r="E247" s="47" t="n"/>
      <c r="F247" s="47">
        <f>IF(D247="","",IF(OR(ISNUMBER(SEARCH("PARÇA DEĞİŞ",D247)),ISNUMBER(SEARCH("PARCA DEGIS",D247)),ISNUMBER(SEARCH("DEĞİŞECEK",D247)),ISNUMBER(SEARCH("DEGISECEK",D247)),ISNUMBER(SEARCH("DEĞİŞİM",D247)),ISNUMBER(SEARCH("DEGISIM",D247))),"PARÇA DEĞİŞİMİ",""))</f>
        <v/>
      </c>
      <c r="G247" s="47">
        <f>IF(AND(D247&lt;&gt;"",E247&lt;&gt;"",D247&lt;&gt;E247),"GÜNCELLENDİ","")</f>
        <v/>
      </c>
      <c r="H247" s="48" t="n"/>
    </row>
    <row r="248">
      <c r="A248" s="47" t="n"/>
      <c r="B248" s="47" t="n"/>
      <c r="C248" s="47" t="n"/>
      <c r="D248" s="47" t="n"/>
      <c r="E248" s="47" t="n"/>
      <c r="F248" s="47">
        <f>IF(D248="","",IF(OR(ISNUMBER(SEARCH("PARÇA DEĞİŞ",D248)),ISNUMBER(SEARCH("PARCA DEGIS",D248)),ISNUMBER(SEARCH("DEĞİŞECEK",D248)),ISNUMBER(SEARCH("DEGISECEK",D248)),ISNUMBER(SEARCH("DEĞİŞİM",D248)),ISNUMBER(SEARCH("DEGISIM",D248))),"PARÇA DEĞİŞİMİ",""))</f>
        <v/>
      </c>
      <c r="G248" s="47">
        <f>IF(AND(D248&lt;&gt;"",E248&lt;&gt;"",D248&lt;&gt;E248),"GÜNCELLENDİ","")</f>
        <v/>
      </c>
      <c r="H248" s="48" t="n"/>
    </row>
    <row r="249">
      <c r="A249" s="47" t="n"/>
      <c r="B249" s="47" t="n"/>
      <c r="C249" s="47" t="n"/>
      <c r="D249" s="47" t="n"/>
      <c r="E249" s="47" t="n"/>
      <c r="F249" s="47">
        <f>IF(D249="","",IF(OR(ISNUMBER(SEARCH("PARÇA DEĞİŞ",D249)),ISNUMBER(SEARCH("PARCA DEGIS",D249)),ISNUMBER(SEARCH("DEĞİŞECEK",D249)),ISNUMBER(SEARCH("DEGISECEK",D249)),ISNUMBER(SEARCH("DEĞİŞİM",D249)),ISNUMBER(SEARCH("DEGISIM",D249))),"PARÇA DEĞİŞİMİ",""))</f>
        <v/>
      </c>
      <c r="G249" s="47">
        <f>IF(AND(D249&lt;&gt;"",E249&lt;&gt;"",D249&lt;&gt;E249),"GÜNCELLENDİ","")</f>
        <v/>
      </c>
      <c r="H249" s="48" t="n"/>
    </row>
    <row r="250">
      <c r="A250" s="47" t="n"/>
      <c r="B250" s="47" t="n"/>
      <c r="C250" s="47" t="n"/>
      <c r="D250" s="47" t="n"/>
      <c r="E250" s="47" t="n"/>
      <c r="F250" s="47">
        <f>IF(D250="","",IF(OR(ISNUMBER(SEARCH("PARÇA DEĞİŞ",D250)),ISNUMBER(SEARCH("PARCA DEGIS",D250)),ISNUMBER(SEARCH("DEĞİŞECEK",D250)),ISNUMBER(SEARCH("DEGISECEK",D250)),ISNUMBER(SEARCH("DEĞİŞİM",D250)),ISNUMBER(SEARCH("DEGISIM",D250))),"PARÇA DEĞİŞİMİ",""))</f>
        <v/>
      </c>
      <c r="G250" s="47">
        <f>IF(AND(D250&lt;&gt;"",E250&lt;&gt;"",D250&lt;&gt;E250),"GÜNCELLENDİ","")</f>
        <v/>
      </c>
      <c r="H250" s="48" t="n"/>
    </row>
    <row r="251">
      <c r="A251" s="47" t="n"/>
      <c r="B251" s="47" t="n"/>
      <c r="C251" s="47" t="n"/>
      <c r="D251" s="47" t="n"/>
      <c r="E251" s="47" t="n"/>
      <c r="F251" s="47">
        <f>IF(D251="","",IF(OR(ISNUMBER(SEARCH("PARÇA DEĞİŞ",D251)),ISNUMBER(SEARCH("PARCA DEGIS",D251)),ISNUMBER(SEARCH("DEĞİŞECEK",D251)),ISNUMBER(SEARCH("DEGISECEK",D251)),ISNUMBER(SEARCH("DEĞİŞİM",D251)),ISNUMBER(SEARCH("DEGISIM",D251))),"PARÇA DEĞİŞİMİ",""))</f>
        <v/>
      </c>
      <c r="G251" s="47">
        <f>IF(AND(D251&lt;&gt;"",E251&lt;&gt;"",D251&lt;&gt;E251),"GÜNCELLENDİ","")</f>
        <v/>
      </c>
      <c r="H251" s="48" t="n"/>
    </row>
    <row r="252">
      <c r="A252" s="47" t="n"/>
      <c r="B252" s="47" t="n"/>
      <c r="C252" s="47" t="n"/>
      <c r="D252" s="47" t="n"/>
      <c r="E252" s="47" t="n"/>
      <c r="F252" s="47">
        <f>IF(D252="","",IF(OR(ISNUMBER(SEARCH("PARÇA DEĞİŞ",D252)),ISNUMBER(SEARCH("PARCA DEGIS",D252)),ISNUMBER(SEARCH("DEĞİŞECEK",D252)),ISNUMBER(SEARCH("DEGISECEK",D252)),ISNUMBER(SEARCH("DEĞİŞİM",D252)),ISNUMBER(SEARCH("DEGISIM",D252))),"PARÇA DEĞİŞİMİ",""))</f>
        <v/>
      </c>
      <c r="G252" s="47">
        <f>IF(AND(D252&lt;&gt;"",E252&lt;&gt;"",D252&lt;&gt;E252),"GÜNCELLENDİ","")</f>
        <v/>
      </c>
      <c r="H252" s="48" t="n"/>
    </row>
    <row r="253">
      <c r="A253" s="47" t="n"/>
      <c r="B253" s="47" t="n"/>
      <c r="C253" s="47" t="n"/>
      <c r="D253" s="47" t="n"/>
      <c r="E253" s="47" t="n"/>
      <c r="F253" s="47">
        <f>IF(D253="","",IF(OR(ISNUMBER(SEARCH("PARÇA DEĞİŞ",D253)),ISNUMBER(SEARCH("PARCA DEGIS",D253)),ISNUMBER(SEARCH("DEĞİŞECEK",D253)),ISNUMBER(SEARCH("DEGISECEK",D253)),ISNUMBER(SEARCH("DEĞİŞİM",D253)),ISNUMBER(SEARCH("DEGISIM",D253))),"PARÇA DEĞİŞİMİ",""))</f>
        <v/>
      </c>
      <c r="G253" s="47">
        <f>IF(AND(D253&lt;&gt;"",E253&lt;&gt;"",D253&lt;&gt;E253),"GÜNCELLENDİ","")</f>
        <v/>
      </c>
      <c r="H253" s="48" t="n"/>
    </row>
    <row r="254">
      <c r="A254" s="47" t="n"/>
      <c r="B254" s="47" t="n"/>
      <c r="C254" s="47" t="n"/>
      <c r="D254" s="47" t="n"/>
      <c r="E254" s="47" t="n"/>
      <c r="F254" s="47">
        <f>IF(D254="","",IF(OR(ISNUMBER(SEARCH("PARÇA DEĞİŞ",D254)),ISNUMBER(SEARCH("PARCA DEGIS",D254)),ISNUMBER(SEARCH("DEĞİŞECEK",D254)),ISNUMBER(SEARCH("DEGISECEK",D254)),ISNUMBER(SEARCH("DEĞİŞİM",D254)),ISNUMBER(SEARCH("DEGISIM",D254))),"PARÇA DEĞİŞİMİ",""))</f>
        <v/>
      </c>
      <c r="G254" s="47">
        <f>IF(AND(D254&lt;&gt;"",E254&lt;&gt;"",D254&lt;&gt;E254),"GÜNCELLENDİ","")</f>
        <v/>
      </c>
      <c r="H254" s="48" t="n"/>
    </row>
    <row r="255">
      <c r="A255" s="47" t="n"/>
      <c r="B255" s="47" t="n"/>
      <c r="C255" s="47" t="n"/>
      <c r="D255" s="47" t="n"/>
      <c r="E255" s="47" t="n"/>
      <c r="F255" s="47">
        <f>IF(D255="","",IF(OR(ISNUMBER(SEARCH("PARÇA DEĞİŞ",D255)),ISNUMBER(SEARCH("PARCA DEGIS",D255)),ISNUMBER(SEARCH("DEĞİŞECEK",D255)),ISNUMBER(SEARCH("DEGISECEK",D255)),ISNUMBER(SEARCH("DEĞİŞİM",D255)),ISNUMBER(SEARCH("DEGISIM",D255))),"PARÇA DEĞİŞİMİ",""))</f>
        <v/>
      </c>
      <c r="G255" s="47">
        <f>IF(AND(D255&lt;&gt;"",E255&lt;&gt;"",D255&lt;&gt;E255),"GÜNCELLENDİ","")</f>
        <v/>
      </c>
      <c r="H255" s="48" t="n"/>
    </row>
    <row r="256">
      <c r="A256" s="47" t="n"/>
      <c r="B256" s="47" t="n"/>
      <c r="C256" s="47" t="n"/>
      <c r="D256" s="47" t="n"/>
      <c r="E256" s="47" t="n"/>
      <c r="F256" s="47">
        <f>IF(D256="","",IF(OR(ISNUMBER(SEARCH("PARÇA DEĞİŞ",D256)),ISNUMBER(SEARCH("PARCA DEGIS",D256)),ISNUMBER(SEARCH("DEĞİŞECEK",D256)),ISNUMBER(SEARCH("DEGISECEK",D256)),ISNUMBER(SEARCH("DEĞİŞİM",D256)),ISNUMBER(SEARCH("DEGISIM",D256))),"PARÇA DEĞİŞİMİ",""))</f>
        <v/>
      </c>
      <c r="G256" s="47">
        <f>IF(AND(D256&lt;&gt;"",E256&lt;&gt;"",D256&lt;&gt;E256),"GÜNCELLENDİ","")</f>
        <v/>
      </c>
      <c r="H256" s="48" t="n"/>
    </row>
    <row r="257">
      <c r="A257" s="47" t="n"/>
      <c r="B257" s="47" t="n"/>
      <c r="C257" s="47" t="n"/>
      <c r="D257" s="47" t="n"/>
      <c r="E257" s="47" t="n"/>
      <c r="F257" s="47">
        <f>IF(D257="","",IF(OR(ISNUMBER(SEARCH("PARÇA DEĞİŞ",D257)),ISNUMBER(SEARCH("PARCA DEGIS",D257)),ISNUMBER(SEARCH("DEĞİŞECEK",D257)),ISNUMBER(SEARCH("DEGISECEK",D257)),ISNUMBER(SEARCH("DEĞİŞİM",D257)),ISNUMBER(SEARCH("DEGISIM",D257))),"PARÇA DEĞİŞİMİ",""))</f>
        <v/>
      </c>
      <c r="G257" s="47">
        <f>IF(AND(D257&lt;&gt;"",E257&lt;&gt;"",D257&lt;&gt;E257),"GÜNCELLENDİ","")</f>
        <v/>
      </c>
      <c r="H257" s="48" t="n"/>
    </row>
    <row r="258">
      <c r="A258" s="47" t="n"/>
      <c r="B258" s="47" t="n"/>
      <c r="C258" s="47" t="n"/>
      <c r="D258" s="47" t="n"/>
      <c r="E258" s="47" t="n"/>
      <c r="F258" s="47">
        <f>IF(D258="","",IF(OR(ISNUMBER(SEARCH("PARÇA DEĞİŞ",D258)),ISNUMBER(SEARCH("PARCA DEGIS",D258)),ISNUMBER(SEARCH("DEĞİŞECEK",D258)),ISNUMBER(SEARCH("DEGISECEK",D258)),ISNUMBER(SEARCH("DEĞİŞİM",D258)),ISNUMBER(SEARCH("DEGISIM",D258))),"PARÇA DEĞİŞİMİ",""))</f>
        <v/>
      </c>
      <c r="G258" s="47">
        <f>IF(AND(D258&lt;&gt;"",E258&lt;&gt;"",D258&lt;&gt;E258),"GÜNCELLENDİ","")</f>
        <v/>
      </c>
      <c r="H258" s="48" t="n"/>
    </row>
    <row r="259">
      <c r="A259" s="47" t="n"/>
      <c r="B259" s="47" t="n"/>
      <c r="C259" s="47" t="n"/>
      <c r="D259" s="47" t="n"/>
      <c r="E259" s="47" t="n"/>
      <c r="F259" s="47">
        <f>IF(D259="","",IF(OR(ISNUMBER(SEARCH("PARÇA DEĞİŞ",D259)),ISNUMBER(SEARCH("PARCA DEGIS",D259)),ISNUMBER(SEARCH("DEĞİŞECEK",D259)),ISNUMBER(SEARCH("DEGISECEK",D259)),ISNUMBER(SEARCH("DEĞİŞİM",D259)),ISNUMBER(SEARCH("DEGISIM",D259))),"PARÇA DEĞİŞİMİ",""))</f>
        <v/>
      </c>
      <c r="G259" s="47">
        <f>IF(AND(D259&lt;&gt;"",E259&lt;&gt;"",D259&lt;&gt;E259),"GÜNCELLENDİ","")</f>
        <v/>
      </c>
      <c r="H259" s="48" t="n"/>
    </row>
    <row r="260">
      <c r="A260" s="47" t="n"/>
      <c r="B260" s="47" t="n"/>
      <c r="C260" s="47" t="n"/>
      <c r="D260" s="47" t="n"/>
      <c r="E260" s="47" t="n"/>
      <c r="F260" s="47">
        <f>IF(D260="","",IF(OR(ISNUMBER(SEARCH("PARÇA DEĞİŞ",D260)),ISNUMBER(SEARCH("PARCA DEGIS",D260)),ISNUMBER(SEARCH("DEĞİŞECEK",D260)),ISNUMBER(SEARCH("DEGISECEK",D260)),ISNUMBER(SEARCH("DEĞİŞİM",D260)),ISNUMBER(SEARCH("DEGISIM",D260))),"PARÇA DEĞİŞİMİ",""))</f>
        <v/>
      </c>
      <c r="G260" s="47">
        <f>IF(AND(D260&lt;&gt;"",E260&lt;&gt;"",D260&lt;&gt;E260),"GÜNCELLENDİ","")</f>
        <v/>
      </c>
      <c r="H260" s="48" t="n"/>
    </row>
    <row r="261">
      <c r="A261" s="47" t="n"/>
      <c r="B261" s="47" t="n"/>
      <c r="C261" s="47" t="n"/>
      <c r="D261" s="47" t="n"/>
      <c r="E261" s="47" t="n"/>
      <c r="F261" s="47">
        <f>IF(D261="","",IF(OR(ISNUMBER(SEARCH("PARÇA DEĞİŞ",D261)),ISNUMBER(SEARCH("PARCA DEGIS",D261)),ISNUMBER(SEARCH("DEĞİŞECEK",D261)),ISNUMBER(SEARCH("DEGISECEK",D261)),ISNUMBER(SEARCH("DEĞİŞİM",D261)),ISNUMBER(SEARCH("DEGISIM",D261))),"PARÇA DEĞİŞİMİ",""))</f>
        <v/>
      </c>
      <c r="G261" s="47">
        <f>IF(AND(D261&lt;&gt;"",E261&lt;&gt;"",D261&lt;&gt;E261),"GÜNCELLENDİ","")</f>
        <v/>
      </c>
      <c r="H261" s="48" t="n"/>
    </row>
    <row r="262">
      <c r="A262" s="47" t="n"/>
      <c r="B262" s="47" t="n"/>
      <c r="C262" s="47" t="n"/>
      <c r="D262" s="47" t="n"/>
      <c r="E262" s="47" t="n"/>
      <c r="F262" s="47">
        <f>IF(D262="","",IF(OR(ISNUMBER(SEARCH("PARÇA DEĞİŞ",D262)),ISNUMBER(SEARCH("PARCA DEGIS",D262)),ISNUMBER(SEARCH("DEĞİŞECEK",D262)),ISNUMBER(SEARCH("DEGISECEK",D262)),ISNUMBER(SEARCH("DEĞİŞİM",D262)),ISNUMBER(SEARCH("DEGISIM",D262))),"PARÇA DEĞİŞİMİ",""))</f>
        <v/>
      </c>
      <c r="G262" s="47">
        <f>IF(AND(D262&lt;&gt;"",E262&lt;&gt;"",D262&lt;&gt;E262),"GÜNCELLENDİ","")</f>
        <v/>
      </c>
      <c r="H262" s="48" t="n"/>
    </row>
    <row r="263">
      <c r="A263" s="47" t="n"/>
      <c r="B263" s="47" t="n"/>
      <c r="C263" s="47" t="n"/>
      <c r="D263" s="47" t="n"/>
      <c r="E263" s="47" t="n"/>
      <c r="F263" s="47">
        <f>IF(D263="","",IF(OR(ISNUMBER(SEARCH("PARÇA DEĞİŞ",D263)),ISNUMBER(SEARCH("PARCA DEGIS",D263)),ISNUMBER(SEARCH("DEĞİŞECEK",D263)),ISNUMBER(SEARCH("DEGISECEK",D263)),ISNUMBER(SEARCH("DEĞİŞİM",D263)),ISNUMBER(SEARCH("DEGISIM",D263))),"PARÇA DEĞİŞİMİ",""))</f>
        <v/>
      </c>
      <c r="G263" s="47">
        <f>IF(AND(D263&lt;&gt;"",E263&lt;&gt;"",D263&lt;&gt;E263),"GÜNCELLENDİ","")</f>
        <v/>
      </c>
      <c r="H263" s="48" t="n"/>
    </row>
    <row r="264">
      <c r="A264" s="47" t="n"/>
      <c r="B264" s="47" t="n"/>
      <c r="C264" s="47" t="n"/>
      <c r="D264" s="47" t="n"/>
      <c r="E264" s="47" t="n"/>
      <c r="F264" s="47">
        <f>IF(D264="","",IF(OR(ISNUMBER(SEARCH("PARÇA DEĞİŞ",D264)),ISNUMBER(SEARCH("PARCA DEGIS",D264)),ISNUMBER(SEARCH("DEĞİŞECEK",D264)),ISNUMBER(SEARCH("DEGISECEK",D264)),ISNUMBER(SEARCH("DEĞİŞİM",D264)),ISNUMBER(SEARCH("DEGISIM",D264))),"PARÇA DEĞİŞİMİ",""))</f>
        <v/>
      </c>
      <c r="G264" s="47">
        <f>IF(AND(D264&lt;&gt;"",E264&lt;&gt;"",D264&lt;&gt;E264),"GÜNCELLENDİ","")</f>
        <v/>
      </c>
      <c r="H264" s="48" t="n"/>
    </row>
    <row r="265">
      <c r="A265" s="47" t="n"/>
      <c r="B265" s="47" t="n"/>
      <c r="C265" s="47" t="n"/>
      <c r="D265" s="47" t="n"/>
      <c r="E265" s="47" t="n"/>
      <c r="F265" s="47">
        <f>IF(D265="","",IF(OR(ISNUMBER(SEARCH("PARÇA DEĞİŞ",D265)),ISNUMBER(SEARCH("PARCA DEGIS",D265)),ISNUMBER(SEARCH("DEĞİŞECEK",D265)),ISNUMBER(SEARCH("DEGISECEK",D265)),ISNUMBER(SEARCH("DEĞİŞİM",D265)),ISNUMBER(SEARCH("DEGISIM",D265))),"PARÇA DEĞİŞİMİ",""))</f>
        <v/>
      </c>
      <c r="G265" s="47">
        <f>IF(AND(D265&lt;&gt;"",E265&lt;&gt;"",D265&lt;&gt;E265),"GÜNCELLENDİ","")</f>
        <v/>
      </c>
      <c r="H265" s="48" t="n"/>
    </row>
    <row r="266">
      <c r="A266" s="47" t="n"/>
      <c r="B266" s="47" t="n"/>
      <c r="C266" s="47" t="n"/>
      <c r="D266" s="47" t="n"/>
      <c r="E266" s="47" t="n"/>
      <c r="F266" s="47">
        <f>IF(D266="","",IF(OR(ISNUMBER(SEARCH("PARÇA DEĞİŞ",D266)),ISNUMBER(SEARCH("PARCA DEGIS",D266)),ISNUMBER(SEARCH("DEĞİŞECEK",D266)),ISNUMBER(SEARCH("DEGISECEK",D266)),ISNUMBER(SEARCH("DEĞİŞİM",D266)),ISNUMBER(SEARCH("DEGISIM",D266))),"PARÇA DEĞİŞİMİ",""))</f>
        <v/>
      </c>
      <c r="G266" s="47">
        <f>IF(AND(D266&lt;&gt;"",E266&lt;&gt;"",D266&lt;&gt;E266),"GÜNCELLENDİ","")</f>
        <v/>
      </c>
      <c r="H266" s="48" t="n"/>
    </row>
    <row r="267">
      <c r="A267" s="47" t="n"/>
      <c r="B267" s="47" t="n"/>
      <c r="C267" s="47" t="n"/>
      <c r="D267" s="47" t="n"/>
      <c r="E267" s="47" t="n"/>
      <c r="F267" s="47">
        <f>IF(D267="","",IF(OR(ISNUMBER(SEARCH("PARÇA DEĞİŞ",D267)),ISNUMBER(SEARCH("PARCA DEGIS",D267)),ISNUMBER(SEARCH("DEĞİŞECEK",D267)),ISNUMBER(SEARCH("DEGISECEK",D267)),ISNUMBER(SEARCH("DEĞİŞİM",D267)),ISNUMBER(SEARCH("DEGISIM",D267))),"PARÇA DEĞİŞİMİ",""))</f>
        <v/>
      </c>
      <c r="G267" s="47">
        <f>IF(AND(D267&lt;&gt;"",E267&lt;&gt;"",D267&lt;&gt;E267),"GÜNCELLENDİ","")</f>
        <v/>
      </c>
      <c r="H267" s="48" t="n"/>
    </row>
    <row r="268">
      <c r="A268" s="47" t="n"/>
      <c r="B268" s="47" t="n"/>
      <c r="C268" s="47" t="n"/>
      <c r="D268" s="47" t="n"/>
      <c r="E268" s="47" t="n"/>
      <c r="F268" s="47">
        <f>IF(D268="","",IF(OR(ISNUMBER(SEARCH("PARÇA DEĞİŞ",D268)),ISNUMBER(SEARCH("PARCA DEGIS",D268)),ISNUMBER(SEARCH("DEĞİŞECEK",D268)),ISNUMBER(SEARCH("DEGISECEK",D268)),ISNUMBER(SEARCH("DEĞİŞİM",D268)),ISNUMBER(SEARCH("DEGISIM",D268))),"PARÇA DEĞİŞİMİ",""))</f>
        <v/>
      </c>
      <c r="G268" s="47">
        <f>IF(AND(D268&lt;&gt;"",E268&lt;&gt;"",D268&lt;&gt;E268),"GÜNCELLENDİ","")</f>
        <v/>
      </c>
      <c r="H268" s="48" t="n"/>
    </row>
    <row r="269">
      <c r="A269" s="47" t="n"/>
      <c r="B269" s="47" t="n"/>
      <c r="C269" s="47" t="n"/>
      <c r="D269" s="47" t="n"/>
      <c r="E269" s="47" t="n"/>
      <c r="F269" s="47">
        <f>IF(D269="","",IF(OR(ISNUMBER(SEARCH("PARÇA DEĞİŞ",D269)),ISNUMBER(SEARCH("PARCA DEGIS",D269)),ISNUMBER(SEARCH("DEĞİŞECEK",D269)),ISNUMBER(SEARCH("DEGISECEK",D269)),ISNUMBER(SEARCH("DEĞİŞİM",D269)),ISNUMBER(SEARCH("DEGISIM",D269))),"PARÇA DEĞİŞİMİ",""))</f>
        <v/>
      </c>
      <c r="G269" s="47">
        <f>IF(AND(D269&lt;&gt;"",E269&lt;&gt;"",D269&lt;&gt;E269),"GÜNCELLENDİ","")</f>
        <v/>
      </c>
      <c r="H269" s="48" t="n"/>
    </row>
    <row r="270">
      <c r="A270" s="47" t="n"/>
      <c r="B270" s="47" t="n"/>
      <c r="C270" s="47" t="n"/>
      <c r="D270" s="47" t="n"/>
      <c r="E270" s="47" t="n"/>
      <c r="F270" s="47">
        <f>IF(D270="","",IF(OR(ISNUMBER(SEARCH("PARÇA DEĞİŞ",D270)),ISNUMBER(SEARCH("PARCA DEGIS",D270)),ISNUMBER(SEARCH("DEĞİŞECEK",D270)),ISNUMBER(SEARCH("DEGISECEK",D270)),ISNUMBER(SEARCH("DEĞİŞİM",D270)),ISNUMBER(SEARCH("DEGISIM",D270))),"PARÇA DEĞİŞİMİ",""))</f>
        <v/>
      </c>
      <c r="G270" s="47">
        <f>IF(AND(D270&lt;&gt;"",E270&lt;&gt;"",D270&lt;&gt;E270),"GÜNCELLENDİ","")</f>
        <v/>
      </c>
      <c r="H270" s="48" t="n"/>
    </row>
    <row r="271">
      <c r="A271" s="47" t="n"/>
      <c r="B271" s="47" t="n"/>
      <c r="C271" s="47" t="n"/>
      <c r="D271" s="47" t="n"/>
      <c r="E271" s="47" t="n"/>
      <c r="F271" s="47">
        <f>IF(D271="","",IF(OR(ISNUMBER(SEARCH("PARÇA DEĞİŞ",D271)),ISNUMBER(SEARCH("PARCA DEGIS",D271)),ISNUMBER(SEARCH("DEĞİŞECEK",D271)),ISNUMBER(SEARCH("DEGISECEK",D271)),ISNUMBER(SEARCH("DEĞİŞİM",D271)),ISNUMBER(SEARCH("DEGISIM",D271))),"PARÇA DEĞİŞİMİ",""))</f>
        <v/>
      </c>
      <c r="G271" s="47">
        <f>IF(AND(D271&lt;&gt;"",E271&lt;&gt;"",D271&lt;&gt;E271),"GÜNCELLENDİ","")</f>
        <v/>
      </c>
      <c r="H271" s="48" t="n"/>
    </row>
    <row r="272">
      <c r="A272" s="47" t="n"/>
      <c r="B272" s="47" t="n"/>
      <c r="C272" s="47" t="n"/>
      <c r="D272" s="47" t="n"/>
      <c r="E272" s="47" t="n"/>
      <c r="F272" s="47">
        <f>IF(D272="","",IF(OR(ISNUMBER(SEARCH("PARÇA DEĞİŞ",D272)),ISNUMBER(SEARCH("PARCA DEGIS",D272)),ISNUMBER(SEARCH("DEĞİŞECEK",D272)),ISNUMBER(SEARCH("DEGISECEK",D272)),ISNUMBER(SEARCH("DEĞİŞİM",D272)),ISNUMBER(SEARCH("DEGISIM",D272))),"PARÇA DEĞİŞİMİ",""))</f>
        <v/>
      </c>
      <c r="G272" s="47">
        <f>IF(AND(D272&lt;&gt;"",E272&lt;&gt;"",D272&lt;&gt;E272),"GÜNCELLENDİ","")</f>
        <v/>
      </c>
      <c r="H272" s="48" t="n"/>
    </row>
    <row r="273">
      <c r="A273" s="47" t="n"/>
      <c r="B273" s="47" t="n"/>
      <c r="C273" s="47" t="n"/>
      <c r="D273" s="47" t="n"/>
      <c r="E273" s="47" t="n"/>
      <c r="F273" s="47">
        <f>IF(D273="","",IF(OR(ISNUMBER(SEARCH("PARÇA DEĞİŞ",D273)),ISNUMBER(SEARCH("PARCA DEGIS",D273)),ISNUMBER(SEARCH("DEĞİŞECEK",D273)),ISNUMBER(SEARCH("DEGISECEK",D273)),ISNUMBER(SEARCH("DEĞİŞİM",D273)),ISNUMBER(SEARCH("DEGISIM",D273))),"PARÇA DEĞİŞİMİ",""))</f>
        <v/>
      </c>
      <c r="G273" s="47">
        <f>IF(AND(D273&lt;&gt;"",E273&lt;&gt;"",D273&lt;&gt;E273),"GÜNCELLENDİ","")</f>
        <v/>
      </c>
      <c r="H273" s="48" t="n"/>
    </row>
    <row r="274">
      <c r="A274" s="47" t="n"/>
      <c r="B274" s="47" t="n"/>
      <c r="C274" s="47" t="n"/>
      <c r="D274" s="47" t="n"/>
      <c r="E274" s="47" t="n"/>
      <c r="F274" s="47">
        <f>IF(D274="","",IF(OR(ISNUMBER(SEARCH("PARÇA DEĞİŞ",D274)),ISNUMBER(SEARCH("PARCA DEGIS",D274)),ISNUMBER(SEARCH("DEĞİŞECEK",D274)),ISNUMBER(SEARCH("DEGISECEK",D274)),ISNUMBER(SEARCH("DEĞİŞİM",D274)),ISNUMBER(SEARCH("DEGISIM",D274))),"PARÇA DEĞİŞİMİ",""))</f>
        <v/>
      </c>
      <c r="G274" s="47">
        <f>IF(AND(D274&lt;&gt;"",E274&lt;&gt;"",D274&lt;&gt;E274),"GÜNCELLENDİ","")</f>
        <v/>
      </c>
      <c r="H274" s="48" t="n"/>
    </row>
    <row r="275">
      <c r="A275" s="47" t="n"/>
      <c r="B275" s="47" t="n"/>
      <c r="C275" s="47" t="n"/>
      <c r="D275" s="47" t="n"/>
      <c r="E275" s="47" t="n"/>
      <c r="F275" s="47">
        <f>IF(D275="","",IF(OR(ISNUMBER(SEARCH("PARÇA DEĞİŞ",D275)),ISNUMBER(SEARCH("PARCA DEGIS",D275)),ISNUMBER(SEARCH("DEĞİŞECEK",D275)),ISNUMBER(SEARCH("DEGISECEK",D275)),ISNUMBER(SEARCH("DEĞİŞİM",D275)),ISNUMBER(SEARCH("DEGISIM",D275))),"PARÇA DEĞİŞİMİ",""))</f>
        <v/>
      </c>
      <c r="G275" s="47">
        <f>IF(AND(D275&lt;&gt;"",E275&lt;&gt;"",D275&lt;&gt;E275),"GÜNCELLENDİ","")</f>
        <v/>
      </c>
      <c r="H275" s="48" t="n"/>
    </row>
    <row r="276">
      <c r="A276" s="47" t="n"/>
      <c r="B276" s="47" t="n"/>
      <c r="C276" s="47" t="n"/>
      <c r="D276" s="47" t="n"/>
      <c r="E276" s="47" t="n"/>
      <c r="F276" s="47">
        <f>IF(D276="","",IF(OR(ISNUMBER(SEARCH("PARÇA DEĞİŞ",D276)),ISNUMBER(SEARCH("PARCA DEGIS",D276)),ISNUMBER(SEARCH("DEĞİŞECEK",D276)),ISNUMBER(SEARCH("DEGISECEK",D276)),ISNUMBER(SEARCH("DEĞİŞİM",D276)),ISNUMBER(SEARCH("DEGISIM",D276))),"PARÇA DEĞİŞİMİ",""))</f>
        <v/>
      </c>
      <c r="G276" s="47">
        <f>IF(AND(D276&lt;&gt;"",E276&lt;&gt;"",D276&lt;&gt;E276),"GÜNCELLENDİ","")</f>
        <v/>
      </c>
      <c r="H276" s="48" t="n"/>
    </row>
    <row r="277">
      <c r="A277" s="47" t="n"/>
      <c r="B277" s="47" t="n"/>
      <c r="C277" s="47" t="n"/>
      <c r="D277" s="47" t="n"/>
      <c r="E277" s="47" t="n"/>
      <c r="F277" s="47">
        <f>IF(D277="","",IF(OR(ISNUMBER(SEARCH("PARÇA DEĞİŞ",D277)),ISNUMBER(SEARCH("PARCA DEGIS",D277)),ISNUMBER(SEARCH("DEĞİŞECEK",D277)),ISNUMBER(SEARCH("DEGISECEK",D277)),ISNUMBER(SEARCH("DEĞİŞİM",D277)),ISNUMBER(SEARCH("DEGISIM",D277))),"PARÇA DEĞİŞİMİ",""))</f>
        <v/>
      </c>
      <c r="G277" s="47">
        <f>IF(AND(D277&lt;&gt;"",E277&lt;&gt;"",D277&lt;&gt;E277),"GÜNCELLENDİ","")</f>
        <v/>
      </c>
      <c r="H277" s="48" t="n"/>
    </row>
    <row r="278">
      <c r="A278" s="47" t="n"/>
      <c r="B278" s="47" t="n"/>
      <c r="C278" s="47" t="n"/>
      <c r="D278" s="47" t="n"/>
      <c r="E278" s="47" t="n"/>
      <c r="F278" s="47">
        <f>IF(D278="","",IF(OR(ISNUMBER(SEARCH("PARÇA DEĞİŞ",D278)),ISNUMBER(SEARCH("PARCA DEGIS",D278)),ISNUMBER(SEARCH("DEĞİŞECEK",D278)),ISNUMBER(SEARCH("DEGISECEK",D278)),ISNUMBER(SEARCH("DEĞİŞİM",D278)),ISNUMBER(SEARCH("DEGISIM",D278))),"PARÇA DEĞİŞİMİ",""))</f>
        <v/>
      </c>
      <c r="G278" s="47">
        <f>IF(AND(D278&lt;&gt;"",E278&lt;&gt;"",D278&lt;&gt;E278),"GÜNCELLENDİ","")</f>
        <v/>
      </c>
      <c r="H278" s="48" t="n"/>
    </row>
    <row r="279">
      <c r="A279" s="47" t="n"/>
      <c r="B279" s="47" t="n"/>
      <c r="C279" s="47" t="n"/>
      <c r="D279" s="47" t="n"/>
      <c r="E279" s="47" t="n"/>
      <c r="F279" s="47">
        <f>IF(D279="","",IF(OR(ISNUMBER(SEARCH("PARÇA DEĞİŞ",D279)),ISNUMBER(SEARCH("PARCA DEGIS",D279)),ISNUMBER(SEARCH("DEĞİŞECEK",D279)),ISNUMBER(SEARCH("DEGISECEK",D279)),ISNUMBER(SEARCH("DEĞİŞİM",D279)),ISNUMBER(SEARCH("DEGISIM",D279))),"PARÇA DEĞİŞİMİ",""))</f>
        <v/>
      </c>
      <c r="G279" s="47">
        <f>IF(AND(D279&lt;&gt;"",E279&lt;&gt;"",D279&lt;&gt;E279),"GÜNCELLENDİ","")</f>
        <v/>
      </c>
      <c r="H279" s="48" t="n"/>
    </row>
    <row r="280">
      <c r="A280" s="47" t="n"/>
      <c r="B280" s="47" t="n"/>
      <c r="C280" s="47" t="n"/>
      <c r="D280" s="47" t="n"/>
      <c r="E280" s="47" t="n"/>
      <c r="F280" s="47">
        <f>IF(D280="","",IF(OR(ISNUMBER(SEARCH("PARÇA DEĞİŞ",D280)),ISNUMBER(SEARCH("PARCA DEGIS",D280)),ISNUMBER(SEARCH("DEĞİŞECEK",D280)),ISNUMBER(SEARCH("DEGISECEK",D280)),ISNUMBER(SEARCH("DEĞİŞİM",D280)),ISNUMBER(SEARCH("DEGISIM",D280))),"PARÇA DEĞİŞİMİ",""))</f>
        <v/>
      </c>
      <c r="G280" s="47">
        <f>IF(AND(D280&lt;&gt;"",E280&lt;&gt;"",D280&lt;&gt;E280),"GÜNCELLENDİ","")</f>
        <v/>
      </c>
      <c r="H280" s="48" t="n"/>
    </row>
    <row r="281">
      <c r="A281" s="47" t="n"/>
      <c r="B281" s="47" t="n"/>
      <c r="C281" s="47" t="n"/>
      <c r="D281" s="47" t="n"/>
      <c r="E281" s="47" t="n"/>
      <c r="F281" s="47">
        <f>IF(D281="","",IF(OR(ISNUMBER(SEARCH("PARÇA DEĞİŞ",D281)),ISNUMBER(SEARCH("PARCA DEGIS",D281)),ISNUMBER(SEARCH("DEĞİŞECEK",D281)),ISNUMBER(SEARCH("DEGISECEK",D281)),ISNUMBER(SEARCH("DEĞİŞİM",D281)),ISNUMBER(SEARCH("DEGISIM",D281))),"PARÇA DEĞİŞİMİ",""))</f>
        <v/>
      </c>
      <c r="G281" s="47">
        <f>IF(AND(D281&lt;&gt;"",E281&lt;&gt;"",D281&lt;&gt;E281),"GÜNCELLENDİ","")</f>
        <v/>
      </c>
      <c r="H281" s="48" t="n"/>
    </row>
    <row r="282">
      <c r="A282" s="47" t="n"/>
      <c r="B282" s="47" t="n"/>
      <c r="C282" s="47" t="n"/>
      <c r="D282" s="47" t="n"/>
      <c r="E282" s="47" t="n"/>
      <c r="F282" s="47">
        <f>IF(D282="","",IF(OR(ISNUMBER(SEARCH("PARÇA DEĞİŞ",D282)),ISNUMBER(SEARCH("PARCA DEGIS",D282)),ISNUMBER(SEARCH("DEĞİŞECEK",D282)),ISNUMBER(SEARCH("DEGISECEK",D282)),ISNUMBER(SEARCH("DEĞİŞİM",D282)),ISNUMBER(SEARCH("DEGISIM",D282))),"PARÇA DEĞİŞİMİ",""))</f>
        <v/>
      </c>
      <c r="G282" s="47">
        <f>IF(AND(D282&lt;&gt;"",E282&lt;&gt;"",D282&lt;&gt;E282),"GÜNCELLENDİ","")</f>
        <v/>
      </c>
      <c r="H282" s="48" t="n"/>
    </row>
    <row r="283">
      <c r="A283" s="47" t="n"/>
      <c r="B283" s="47" t="n"/>
      <c r="C283" s="47" t="n"/>
      <c r="D283" s="47" t="n"/>
      <c r="E283" s="47" t="n"/>
      <c r="F283" s="47">
        <f>IF(D283="","",IF(OR(ISNUMBER(SEARCH("PARÇA DEĞİŞ",D283)),ISNUMBER(SEARCH("PARCA DEGIS",D283)),ISNUMBER(SEARCH("DEĞİŞECEK",D283)),ISNUMBER(SEARCH("DEGISECEK",D283)),ISNUMBER(SEARCH("DEĞİŞİM",D283)),ISNUMBER(SEARCH("DEGISIM",D283))),"PARÇA DEĞİŞİMİ",""))</f>
        <v/>
      </c>
      <c r="G283" s="47">
        <f>IF(AND(D283&lt;&gt;"",E283&lt;&gt;"",D283&lt;&gt;E283),"GÜNCELLENDİ","")</f>
        <v/>
      </c>
      <c r="H283" s="48" t="n"/>
    </row>
    <row r="284">
      <c r="A284" s="47" t="n"/>
      <c r="B284" s="47" t="n"/>
      <c r="C284" s="47" t="n"/>
      <c r="D284" s="47" t="n"/>
      <c r="E284" s="47" t="n"/>
      <c r="F284" s="47">
        <f>IF(D284="","",IF(OR(ISNUMBER(SEARCH("PARÇA DEĞİŞ",D284)),ISNUMBER(SEARCH("PARCA DEGIS",D284)),ISNUMBER(SEARCH("DEĞİŞECEK",D284)),ISNUMBER(SEARCH("DEGISECEK",D284)),ISNUMBER(SEARCH("DEĞİŞİM",D284)),ISNUMBER(SEARCH("DEGISIM",D284))),"PARÇA DEĞİŞİMİ",""))</f>
        <v/>
      </c>
      <c r="G284" s="47">
        <f>IF(AND(D284&lt;&gt;"",E284&lt;&gt;"",D284&lt;&gt;E284),"GÜNCELLENDİ","")</f>
        <v/>
      </c>
      <c r="H284" s="48" t="n"/>
    </row>
    <row r="285">
      <c r="A285" s="47" t="n"/>
      <c r="B285" s="47" t="n"/>
      <c r="C285" s="47" t="n"/>
      <c r="D285" s="47" t="n"/>
      <c r="E285" s="47" t="n"/>
      <c r="F285" s="47">
        <f>IF(D285="","",IF(OR(ISNUMBER(SEARCH("PARÇA DEĞİŞ",D285)),ISNUMBER(SEARCH("PARCA DEGIS",D285)),ISNUMBER(SEARCH("DEĞİŞECEK",D285)),ISNUMBER(SEARCH("DEGISECEK",D285)),ISNUMBER(SEARCH("DEĞİŞİM",D285)),ISNUMBER(SEARCH("DEGISIM",D285))),"PARÇA DEĞİŞİMİ",""))</f>
        <v/>
      </c>
      <c r="G285" s="47">
        <f>IF(AND(D285&lt;&gt;"",E285&lt;&gt;"",D285&lt;&gt;E285),"GÜNCELLENDİ","")</f>
        <v/>
      </c>
      <c r="H285" s="48" t="n"/>
    </row>
    <row r="286">
      <c r="A286" s="47" t="n"/>
      <c r="B286" s="47" t="n"/>
      <c r="C286" s="47" t="n"/>
      <c r="D286" s="47" t="n"/>
      <c r="E286" s="47" t="n"/>
      <c r="F286" s="47">
        <f>IF(D286="","",IF(OR(ISNUMBER(SEARCH("PARÇA DEĞİŞ",D286)),ISNUMBER(SEARCH("PARCA DEGIS",D286)),ISNUMBER(SEARCH("DEĞİŞECEK",D286)),ISNUMBER(SEARCH("DEGISECEK",D286)),ISNUMBER(SEARCH("DEĞİŞİM",D286)),ISNUMBER(SEARCH("DEGISIM",D286))),"PARÇA DEĞİŞİMİ",""))</f>
        <v/>
      </c>
      <c r="G286" s="47">
        <f>IF(AND(D286&lt;&gt;"",E286&lt;&gt;"",D286&lt;&gt;E286),"GÜNCELLENDİ","")</f>
        <v/>
      </c>
      <c r="H286" s="48" t="n"/>
    </row>
    <row r="287">
      <c r="A287" s="47" t="n"/>
      <c r="B287" s="47" t="n"/>
      <c r="C287" s="47" t="n"/>
      <c r="D287" s="47" t="n"/>
      <c r="E287" s="47" t="n"/>
      <c r="F287" s="47">
        <f>IF(D287="","",IF(OR(ISNUMBER(SEARCH("PARÇA DEĞİŞ",D287)),ISNUMBER(SEARCH("PARCA DEGIS",D287)),ISNUMBER(SEARCH("DEĞİŞECEK",D287)),ISNUMBER(SEARCH("DEGISECEK",D287)),ISNUMBER(SEARCH("DEĞİŞİM",D287)),ISNUMBER(SEARCH("DEGISIM",D287))),"PARÇA DEĞİŞİMİ",""))</f>
        <v/>
      </c>
      <c r="G287" s="47">
        <f>IF(AND(D287&lt;&gt;"",E287&lt;&gt;"",D287&lt;&gt;E287),"GÜNCELLENDİ","")</f>
        <v/>
      </c>
      <c r="H287" s="48" t="n"/>
    </row>
    <row r="288">
      <c r="A288" s="47" t="n"/>
      <c r="B288" s="47" t="n"/>
      <c r="C288" s="47" t="n"/>
      <c r="D288" s="47" t="n"/>
      <c r="E288" s="47" t="n"/>
      <c r="F288" s="47">
        <f>IF(D288="","",IF(OR(ISNUMBER(SEARCH("PARÇA DEĞİŞ",D288)),ISNUMBER(SEARCH("PARCA DEGIS",D288)),ISNUMBER(SEARCH("DEĞİŞECEK",D288)),ISNUMBER(SEARCH("DEGISECEK",D288)),ISNUMBER(SEARCH("DEĞİŞİM",D288)),ISNUMBER(SEARCH("DEGISIM",D288))),"PARÇA DEĞİŞİMİ",""))</f>
        <v/>
      </c>
      <c r="G288" s="47">
        <f>IF(AND(D288&lt;&gt;"",E288&lt;&gt;"",D288&lt;&gt;E288),"GÜNCELLENDİ","")</f>
        <v/>
      </c>
      <c r="H288" s="48" t="n"/>
    </row>
    <row r="289">
      <c r="A289" s="47" t="n"/>
      <c r="B289" s="47" t="n"/>
      <c r="C289" s="47" t="n"/>
      <c r="D289" s="47" t="n"/>
      <c r="E289" s="47" t="n"/>
      <c r="F289" s="47">
        <f>IF(D289="","",IF(OR(ISNUMBER(SEARCH("PARÇA DEĞİŞ",D289)),ISNUMBER(SEARCH("PARCA DEGIS",D289)),ISNUMBER(SEARCH("DEĞİŞECEK",D289)),ISNUMBER(SEARCH("DEGISECEK",D289)),ISNUMBER(SEARCH("DEĞİŞİM",D289)),ISNUMBER(SEARCH("DEGISIM",D289))),"PARÇA DEĞİŞİMİ",""))</f>
        <v/>
      </c>
      <c r="G289" s="47">
        <f>IF(AND(D289&lt;&gt;"",E289&lt;&gt;"",D289&lt;&gt;E289),"GÜNCELLENDİ","")</f>
        <v/>
      </c>
      <c r="H289" s="48" t="n"/>
    </row>
    <row r="290">
      <c r="A290" s="47" t="n"/>
      <c r="B290" s="47" t="n"/>
      <c r="C290" s="47" t="n"/>
      <c r="D290" s="47" t="n"/>
      <c r="E290" s="47" t="n"/>
      <c r="F290" s="47">
        <f>IF(D290="","",IF(OR(ISNUMBER(SEARCH("PARÇA DEĞİŞ",D290)),ISNUMBER(SEARCH("PARCA DEGIS",D290)),ISNUMBER(SEARCH("DEĞİŞECEK",D290)),ISNUMBER(SEARCH("DEGISECEK",D290)),ISNUMBER(SEARCH("DEĞİŞİM",D290)),ISNUMBER(SEARCH("DEGISIM",D290))),"PARÇA DEĞİŞİMİ",""))</f>
        <v/>
      </c>
      <c r="G290" s="47">
        <f>IF(AND(D290&lt;&gt;"",E290&lt;&gt;"",D290&lt;&gt;E290),"GÜNCELLENDİ","")</f>
        <v/>
      </c>
      <c r="H290" s="48" t="n"/>
    </row>
    <row r="291">
      <c r="A291" s="47" t="n"/>
      <c r="B291" s="47" t="n"/>
      <c r="C291" s="47" t="n"/>
      <c r="D291" s="47" t="n"/>
      <c r="E291" s="47" t="n"/>
      <c r="F291" s="47">
        <f>IF(D291="","",IF(OR(ISNUMBER(SEARCH("PARÇA DEĞİŞ",D291)),ISNUMBER(SEARCH("PARCA DEGIS",D291)),ISNUMBER(SEARCH("DEĞİŞECEK",D291)),ISNUMBER(SEARCH("DEGISECEK",D291)),ISNUMBER(SEARCH("DEĞİŞİM",D291)),ISNUMBER(SEARCH("DEGISIM",D291))),"PARÇA DEĞİŞİMİ",""))</f>
        <v/>
      </c>
      <c r="G291" s="47">
        <f>IF(AND(D291&lt;&gt;"",E291&lt;&gt;"",D291&lt;&gt;E291),"GÜNCELLENDİ","")</f>
        <v/>
      </c>
      <c r="H291" s="48" t="n"/>
    </row>
    <row r="292">
      <c r="A292" s="47" t="n"/>
      <c r="B292" s="47" t="n"/>
      <c r="C292" s="47" t="n"/>
      <c r="D292" s="47" t="n"/>
      <c r="E292" s="47" t="n"/>
      <c r="F292" s="47">
        <f>IF(D292="","",IF(OR(ISNUMBER(SEARCH("PARÇA DEĞİŞ",D292)),ISNUMBER(SEARCH("PARCA DEGIS",D292)),ISNUMBER(SEARCH("DEĞİŞECEK",D292)),ISNUMBER(SEARCH("DEGISECEK",D292)),ISNUMBER(SEARCH("DEĞİŞİM",D292)),ISNUMBER(SEARCH("DEGISIM",D292))),"PARÇA DEĞİŞİMİ",""))</f>
        <v/>
      </c>
      <c r="G292" s="47">
        <f>IF(AND(D292&lt;&gt;"",E292&lt;&gt;"",D292&lt;&gt;E292),"GÜNCELLENDİ","")</f>
        <v/>
      </c>
      <c r="H292" s="48" t="n"/>
    </row>
    <row r="293">
      <c r="A293" s="47" t="n"/>
      <c r="B293" s="47" t="n"/>
      <c r="C293" s="47" t="n"/>
      <c r="D293" s="47" t="n"/>
      <c r="E293" s="47" t="n"/>
      <c r="F293" s="47">
        <f>IF(D293="","",IF(OR(ISNUMBER(SEARCH("PARÇA DEĞİŞ",D293)),ISNUMBER(SEARCH("PARCA DEGIS",D293)),ISNUMBER(SEARCH("DEĞİŞECEK",D293)),ISNUMBER(SEARCH("DEGISECEK",D293)),ISNUMBER(SEARCH("DEĞİŞİM",D293)),ISNUMBER(SEARCH("DEGISIM",D293))),"PARÇA DEĞİŞİMİ",""))</f>
        <v/>
      </c>
      <c r="G293" s="47">
        <f>IF(AND(D293&lt;&gt;"",E293&lt;&gt;"",D293&lt;&gt;E293),"GÜNCELLENDİ","")</f>
        <v/>
      </c>
      <c r="H293" s="48" t="n"/>
    </row>
    <row r="294">
      <c r="A294" s="47" t="n"/>
      <c r="B294" s="47" t="n"/>
      <c r="C294" s="47" t="n"/>
      <c r="D294" s="47" t="n"/>
      <c r="E294" s="47" t="n"/>
      <c r="F294" s="47">
        <f>IF(D294="","",IF(OR(ISNUMBER(SEARCH("PARÇA DEĞİŞ",D294)),ISNUMBER(SEARCH("PARCA DEGIS",D294)),ISNUMBER(SEARCH("DEĞİŞECEK",D294)),ISNUMBER(SEARCH("DEGISECEK",D294)),ISNUMBER(SEARCH("DEĞİŞİM",D294)),ISNUMBER(SEARCH("DEGISIM",D294))),"PARÇA DEĞİŞİMİ",""))</f>
        <v/>
      </c>
      <c r="G294" s="47">
        <f>IF(AND(D294&lt;&gt;"",E294&lt;&gt;"",D294&lt;&gt;E294),"GÜNCELLENDİ","")</f>
        <v/>
      </c>
      <c r="H294" s="48" t="n"/>
    </row>
    <row r="295">
      <c r="A295" s="47" t="n"/>
      <c r="B295" s="47" t="n"/>
      <c r="C295" s="47" t="n"/>
      <c r="D295" s="47" t="n"/>
      <c r="E295" s="47" t="n"/>
      <c r="F295" s="47">
        <f>IF(D295="","",IF(OR(ISNUMBER(SEARCH("PARÇA DEĞİŞ",D295)),ISNUMBER(SEARCH("PARCA DEGIS",D295)),ISNUMBER(SEARCH("DEĞİŞECEK",D295)),ISNUMBER(SEARCH("DEGISECEK",D295)),ISNUMBER(SEARCH("DEĞİŞİM",D295)),ISNUMBER(SEARCH("DEGISIM",D295))),"PARÇA DEĞİŞİMİ",""))</f>
        <v/>
      </c>
      <c r="G295" s="47">
        <f>IF(AND(D295&lt;&gt;"",E295&lt;&gt;"",D295&lt;&gt;E295),"GÜNCELLENDİ","")</f>
        <v/>
      </c>
      <c r="H295" s="48" t="n"/>
    </row>
    <row r="296">
      <c r="A296" s="47" t="n"/>
      <c r="B296" s="47" t="n"/>
      <c r="C296" s="47" t="n"/>
      <c r="D296" s="47" t="n"/>
      <c r="E296" s="47" t="n"/>
      <c r="F296" s="47">
        <f>IF(D296="","",IF(OR(ISNUMBER(SEARCH("PARÇA DEĞİŞ",D296)),ISNUMBER(SEARCH("PARCA DEGIS",D296)),ISNUMBER(SEARCH("DEĞİŞECEK",D296)),ISNUMBER(SEARCH("DEGISECEK",D296)),ISNUMBER(SEARCH("DEĞİŞİM",D296)),ISNUMBER(SEARCH("DEGISIM",D296))),"PARÇA DEĞİŞİMİ",""))</f>
        <v/>
      </c>
      <c r="G296" s="47">
        <f>IF(AND(D296&lt;&gt;"",E296&lt;&gt;"",D296&lt;&gt;E296),"GÜNCELLENDİ","")</f>
        <v/>
      </c>
      <c r="H296" s="48" t="n"/>
    </row>
    <row r="297">
      <c r="A297" s="47" t="n"/>
      <c r="B297" s="47" t="n"/>
      <c r="C297" s="47" t="n"/>
      <c r="D297" s="47" t="n"/>
      <c r="E297" s="47" t="n"/>
      <c r="F297" s="47">
        <f>IF(D297="","",IF(OR(ISNUMBER(SEARCH("PARÇA DEĞİŞ",D297)),ISNUMBER(SEARCH("PARCA DEGIS",D297)),ISNUMBER(SEARCH("DEĞİŞECEK",D297)),ISNUMBER(SEARCH("DEGISECEK",D297)),ISNUMBER(SEARCH("DEĞİŞİM",D297)),ISNUMBER(SEARCH("DEGISIM",D297))),"PARÇA DEĞİŞİMİ",""))</f>
        <v/>
      </c>
      <c r="G297" s="47">
        <f>IF(AND(D297&lt;&gt;"",E297&lt;&gt;"",D297&lt;&gt;E297),"GÜNCELLENDİ","")</f>
        <v/>
      </c>
      <c r="H297" s="48" t="n"/>
    </row>
    <row r="298">
      <c r="A298" s="47" t="n"/>
      <c r="B298" s="47" t="n"/>
      <c r="C298" s="47" t="n"/>
      <c r="D298" s="47" t="n"/>
      <c r="E298" s="47" t="n"/>
      <c r="F298" s="47">
        <f>IF(D298="","",IF(OR(ISNUMBER(SEARCH("PARÇA DEĞİŞ",D298)),ISNUMBER(SEARCH("PARCA DEGIS",D298)),ISNUMBER(SEARCH("DEĞİŞECEK",D298)),ISNUMBER(SEARCH("DEGISECEK",D298)),ISNUMBER(SEARCH("DEĞİŞİM",D298)),ISNUMBER(SEARCH("DEGISIM",D298))),"PARÇA DEĞİŞİMİ",""))</f>
        <v/>
      </c>
      <c r="G298" s="47">
        <f>IF(AND(D298&lt;&gt;"",E298&lt;&gt;"",D298&lt;&gt;E298),"GÜNCELLENDİ","")</f>
        <v/>
      </c>
      <c r="H298" s="48" t="n"/>
    </row>
    <row r="299">
      <c r="A299" s="47" t="n"/>
      <c r="B299" s="47" t="n"/>
      <c r="C299" s="47" t="n"/>
      <c r="D299" s="47" t="n"/>
      <c r="E299" s="47" t="n"/>
      <c r="F299" s="47">
        <f>IF(D299="","",IF(OR(ISNUMBER(SEARCH("PARÇA DEĞİŞ",D299)),ISNUMBER(SEARCH("PARCA DEGIS",D299)),ISNUMBER(SEARCH("DEĞİŞECEK",D299)),ISNUMBER(SEARCH("DEGISECEK",D299)),ISNUMBER(SEARCH("DEĞİŞİM",D299)),ISNUMBER(SEARCH("DEGISIM",D299))),"PARÇA DEĞİŞİMİ",""))</f>
        <v/>
      </c>
      <c r="G299" s="47">
        <f>IF(AND(D299&lt;&gt;"",E299&lt;&gt;"",D299&lt;&gt;E299),"GÜNCELLENDİ","")</f>
        <v/>
      </c>
      <c r="H299" s="48" t="n"/>
    </row>
    <row r="300">
      <c r="A300" s="47" t="n"/>
      <c r="B300" s="47" t="n"/>
      <c r="C300" s="47" t="n"/>
      <c r="D300" s="47" t="n"/>
      <c r="E300" s="47" t="n"/>
      <c r="F300" s="47">
        <f>IF(D300="","",IF(OR(ISNUMBER(SEARCH("PARÇA DEĞİŞ",D300)),ISNUMBER(SEARCH("PARCA DEGIS",D300)),ISNUMBER(SEARCH("DEĞİŞECEK",D300)),ISNUMBER(SEARCH("DEGISECEK",D300)),ISNUMBER(SEARCH("DEĞİŞİM",D300)),ISNUMBER(SEARCH("DEGISIM",D300))),"PARÇA DEĞİŞİMİ",""))</f>
        <v/>
      </c>
      <c r="G300" s="47">
        <f>IF(AND(D300&lt;&gt;"",E300&lt;&gt;"",D300&lt;&gt;E300),"GÜNCELLENDİ","")</f>
        <v/>
      </c>
      <c r="H300" s="48" t="n"/>
    </row>
    <row r="301">
      <c r="A301" s="47" t="n"/>
      <c r="B301" s="47" t="n"/>
      <c r="C301" s="47" t="n"/>
      <c r="D301" s="47" t="n"/>
      <c r="E301" s="47" t="n"/>
      <c r="F301" s="47">
        <f>IF(D301="","",IF(OR(ISNUMBER(SEARCH("PARÇA DEĞİŞ",D301)),ISNUMBER(SEARCH("PARCA DEGIS",D301)),ISNUMBER(SEARCH("DEĞİŞECEK",D301)),ISNUMBER(SEARCH("DEGISECEK",D301)),ISNUMBER(SEARCH("DEĞİŞİM",D301)),ISNUMBER(SEARCH("DEGISIM",D301))),"PARÇA DEĞİŞİMİ",""))</f>
        <v/>
      </c>
      <c r="G301" s="47">
        <f>IF(AND(D301&lt;&gt;"",E301&lt;&gt;"",D301&lt;&gt;E301),"GÜNCELLENDİ","")</f>
        <v/>
      </c>
      <c r="H301" s="48" t="n"/>
    </row>
    <row r="302">
      <c r="A302" s="47" t="n"/>
      <c r="B302" s="47" t="n"/>
      <c r="C302" s="47" t="n"/>
      <c r="D302" s="47" t="n"/>
      <c r="E302" s="47" t="n"/>
      <c r="F302" s="47">
        <f>IF(D302="","",IF(OR(ISNUMBER(SEARCH("PARÇA DEĞİŞ",D302)),ISNUMBER(SEARCH("PARCA DEGIS",D302)),ISNUMBER(SEARCH("DEĞİŞECEK",D302)),ISNUMBER(SEARCH("DEGISECEK",D302)),ISNUMBER(SEARCH("DEĞİŞİM",D302)),ISNUMBER(SEARCH("DEGISIM",D302))),"PARÇA DEĞİŞİMİ",""))</f>
        <v/>
      </c>
      <c r="G302" s="47">
        <f>IF(AND(D302&lt;&gt;"",E302&lt;&gt;"",D302&lt;&gt;E302),"GÜNCELLENDİ","")</f>
        <v/>
      </c>
      <c r="H302" s="48" t="n"/>
    </row>
    <row r="303">
      <c r="A303" s="47" t="n"/>
      <c r="B303" s="47" t="n"/>
      <c r="C303" s="47" t="n"/>
      <c r="D303" s="47" t="n"/>
      <c r="E303" s="47" t="n"/>
      <c r="F303" s="47">
        <f>IF(D303="","",IF(OR(ISNUMBER(SEARCH("PARÇA DEĞİŞ",D303)),ISNUMBER(SEARCH("PARCA DEGIS",D303)),ISNUMBER(SEARCH("DEĞİŞECEK",D303)),ISNUMBER(SEARCH("DEGISECEK",D303)),ISNUMBER(SEARCH("DEĞİŞİM",D303)),ISNUMBER(SEARCH("DEGISIM",D303))),"PARÇA DEĞİŞİMİ",""))</f>
        <v/>
      </c>
      <c r="G303" s="47">
        <f>IF(AND(D303&lt;&gt;"",E303&lt;&gt;"",D303&lt;&gt;E303),"GÜNCELLENDİ","")</f>
        <v/>
      </c>
      <c r="H303" s="48" t="n"/>
    </row>
    <row r="304">
      <c r="A304" s="47" t="n"/>
      <c r="B304" s="47" t="n"/>
      <c r="C304" s="47" t="n"/>
      <c r="D304" s="47" t="n"/>
      <c r="E304" s="47" t="n"/>
      <c r="F304" s="47">
        <f>IF(D304="","",IF(OR(ISNUMBER(SEARCH("PARÇA DEĞİŞ",D304)),ISNUMBER(SEARCH("PARCA DEGIS",D304)),ISNUMBER(SEARCH("DEĞİŞECEK",D304)),ISNUMBER(SEARCH("DEGISECEK",D304)),ISNUMBER(SEARCH("DEĞİŞİM",D304)),ISNUMBER(SEARCH("DEGISIM",D304))),"PARÇA DEĞİŞİMİ",""))</f>
        <v/>
      </c>
      <c r="G304" s="47">
        <f>IF(AND(D304&lt;&gt;"",E304&lt;&gt;"",D304&lt;&gt;E304),"GÜNCELLENDİ","")</f>
        <v/>
      </c>
      <c r="H304" s="48" t="n"/>
    </row>
    <row r="305">
      <c r="A305" s="47" t="n"/>
      <c r="B305" s="47" t="n"/>
      <c r="C305" s="47" t="n"/>
      <c r="D305" s="47" t="n"/>
      <c r="E305" s="47" t="n"/>
      <c r="F305" s="47">
        <f>IF(D305="","",IF(OR(ISNUMBER(SEARCH("PARÇA DEĞİŞ",D305)),ISNUMBER(SEARCH("PARCA DEGIS",D305)),ISNUMBER(SEARCH("DEĞİŞECEK",D305)),ISNUMBER(SEARCH("DEGISECEK",D305)),ISNUMBER(SEARCH("DEĞİŞİM",D305)),ISNUMBER(SEARCH("DEGISIM",D305))),"PARÇA DEĞİŞİMİ",""))</f>
        <v/>
      </c>
      <c r="G305" s="47">
        <f>IF(AND(D305&lt;&gt;"",E305&lt;&gt;"",D305&lt;&gt;E305),"GÜNCELLENDİ","")</f>
        <v/>
      </c>
      <c r="H305" s="48" t="n"/>
    </row>
    <row r="306">
      <c r="A306" s="47" t="n"/>
      <c r="B306" s="47" t="n"/>
      <c r="C306" s="47" t="n"/>
      <c r="D306" s="47" t="n"/>
      <c r="E306" s="47" t="n"/>
      <c r="F306" s="47">
        <f>IF(D306="","",IF(OR(ISNUMBER(SEARCH("PARÇA DEĞİŞ",D306)),ISNUMBER(SEARCH("PARCA DEGIS",D306)),ISNUMBER(SEARCH("DEĞİŞECEK",D306)),ISNUMBER(SEARCH("DEGISECEK",D306)),ISNUMBER(SEARCH("DEĞİŞİM",D306)),ISNUMBER(SEARCH("DEGISIM",D306))),"PARÇA DEĞİŞİMİ",""))</f>
        <v/>
      </c>
      <c r="G306" s="47">
        <f>IF(AND(D306&lt;&gt;"",E306&lt;&gt;"",D306&lt;&gt;E306),"GÜNCELLENDİ","")</f>
        <v/>
      </c>
      <c r="H306" s="48" t="n"/>
    </row>
    <row r="307">
      <c r="A307" s="47" t="n"/>
      <c r="B307" s="47" t="n"/>
      <c r="C307" s="47" t="n"/>
      <c r="D307" s="47" t="n"/>
      <c r="E307" s="47" t="n"/>
      <c r="F307" s="47">
        <f>IF(D307="","",IF(OR(ISNUMBER(SEARCH("PARÇA DEĞİŞ",D307)),ISNUMBER(SEARCH("PARCA DEGIS",D307)),ISNUMBER(SEARCH("DEĞİŞECEK",D307)),ISNUMBER(SEARCH("DEGISECEK",D307)),ISNUMBER(SEARCH("DEĞİŞİM",D307)),ISNUMBER(SEARCH("DEGISIM",D307))),"PARÇA DEĞİŞİMİ",""))</f>
        <v/>
      </c>
      <c r="G307" s="47">
        <f>IF(AND(D307&lt;&gt;"",E307&lt;&gt;"",D307&lt;&gt;E307),"GÜNCELLENDİ","")</f>
        <v/>
      </c>
      <c r="H307" s="48" t="n"/>
    </row>
    <row r="308">
      <c r="A308" s="47" t="n"/>
      <c r="B308" s="47" t="n"/>
      <c r="C308" s="47" t="n"/>
      <c r="D308" s="47" t="n"/>
      <c r="E308" s="47" t="n"/>
      <c r="F308" s="47">
        <f>IF(D308="","",IF(OR(ISNUMBER(SEARCH("PARÇA DEĞİŞ",D308)),ISNUMBER(SEARCH("PARCA DEGIS",D308)),ISNUMBER(SEARCH("DEĞİŞECEK",D308)),ISNUMBER(SEARCH("DEGISECEK",D308)),ISNUMBER(SEARCH("DEĞİŞİM",D308)),ISNUMBER(SEARCH("DEGISIM",D308))),"PARÇA DEĞİŞİMİ",""))</f>
        <v/>
      </c>
      <c r="G308" s="47">
        <f>IF(AND(D308&lt;&gt;"",E308&lt;&gt;"",D308&lt;&gt;E308),"GÜNCELLENDİ","")</f>
        <v/>
      </c>
      <c r="H308" s="48" t="n"/>
    </row>
    <row r="309">
      <c r="A309" s="47" t="n"/>
      <c r="B309" s="47" t="n"/>
      <c r="C309" s="47" t="n"/>
      <c r="D309" s="47" t="n"/>
      <c r="E309" s="47" t="n"/>
      <c r="F309" s="47">
        <f>IF(D309="","",IF(OR(ISNUMBER(SEARCH("PARÇA DEĞİŞ",D309)),ISNUMBER(SEARCH("PARCA DEGIS",D309)),ISNUMBER(SEARCH("DEĞİŞECEK",D309)),ISNUMBER(SEARCH("DEGISECEK",D309)),ISNUMBER(SEARCH("DEĞİŞİM",D309)),ISNUMBER(SEARCH("DEGISIM",D309))),"PARÇA DEĞİŞİMİ",""))</f>
        <v/>
      </c>
      <c r="G309" s="47">
        <f>IF(AND(D309&lt;&gt;"",E309&lt;&gt;"",D309&lt;&gt;E309),"GÜNCELLENDİ","")</f>
        <v/>
      </c>
      <c r="H309" s="48" t="n"/>
    </row>
    <row r="310">
      <c r="A310" s="47" t="n"/>
      <c r="B310" s="47" t="n"/>
      <c r="C310" s="47" t="n"/>
      <c r="D310" s="47" t="n"/>
      <c r="E310" s="47" t="n"/>
      <c r="F310" s="47">
        <f>IF(D310="","",IF(OR(ISNUMBER(SEARCH("PARÇA DEĞİŞ",D310)),ISNUMBER(SEARCH("PARCA DEGIS",D310)),ISNUMBER(SEARCH("DEĞİŞECEK",D310)),ISNUMBER(SEARCH("DEGISECEK",D310)),ISNUMBER(SEARCH("DEĞİŞİM",D310)),ISNUMBER(SEARCH("DEGISIM",D310))),"PARÇA DEĞİŞİMİ",""))</f>
        <v/>
      </c>
      <c r="G310" s="47">
        <f>IF(AND(D310&lt;&gt;"",E310&lt;&gt;"",D310&lt;&gt;E310),"GÜNCELLENDİ","")</f>
        <v/>
      </c>
      <c r="H310" s="48" t="n"/>
    </row>
    <row r="311">
      <c r="A311" s="47" t="n"/>
      <c r="B311" s="47" t="n"/>
      <c r="C311" s="47" t="n"/>
      <c r="D311" s="47" t="n"/>
      <c r="E311" s="47" t="n"/>
      <c r="F311" s="47">
        <f>IF(D311="","",IF(OR(ISNUMBER(SEARCH("PARÇA DEĞİŞ",D311)),ISNUMBER(SEARCH("PARCA DEGIS",D311)),ISNUMBER(SEARCH("DEĞİŞECEK",D311)),ISNUMBER(SEARCH("DEGISECEK",D311)),ISNUMBER(SEARCH("DEĞİŞİM",D311)),ISNUMBER(SEARCH("DEGISIM",D311))),"PARÇA DEĞİŞİMİ",""))</f>
        <v/>
      </c>
      <c r="G311" s="47">
        <f>IF(AND(D311&lt;&gt;"",E311&lt;&gt;"",D311&lt;&gt;E311),"GÜNCELLENDİ","")</f>
        <v/>
      </c>
      <c r="H311" s="48" t="n"/>
    </row>
    <row r="312">
      <c r="A312" s="47" t="n"/>
      <c r="B312" s="47" t="n"/>
      <c r="C312" s="47" t="n"/>
      <c r="D312" s="47" t="n"/>
      <c r="E312" s="47" t="n"/>
      <c r="F312" s="47">
        <f>IF(D312="","",IF(OR(ISNUMBER(SEARCH("PARÇA DEĞİŞ",D312)),ISNUMBER(SEARCH("PARCA DEGIS",D312)),ISNUMBER(SEARCH("DEĞİŞECEK",D312)),ISNUMBER(SEARCH("DEGISECEK",D312)),ISNUMBER(SEARCH("DEĞİŞİM",D312)),ISNUMBER(SEARCH("DEGISIM",D312))),"PARÇA DEĞİŞİMİ",""))</f>
        <v/>
      </c>
      <c r="G312" s="47">
        <f>IF(AND(D312&lt;&gt;"",E312&lt;&gt;"",D312&lt;&gt;E312),"GÜNCELLENDİ","")</f>
        <v/>
      </c>
      <c r="H312" s="48" t="n"/>
    </row>
    <row r="313">
      <c r="A313" s="47" t="n"/>
      <c r="B313" s="47" t="n"/>
      <c r="C313" s="47" t="n"/>
      <c r="D313" s="47" t="n"/>
      <c r="E313" s="47" t="n"/>
      <c r="F313" s="47">
        <f>IF(D313="","",IF(OR(ISNUMBER(SEARCH("PARÇA DEĞİŞ",D313)),ISNUMBER(SEARCH("PARCA DEGIS",D313)),ISNUMBER(SEARCH("DEĞİŞECEK",D313)),ISNUMBER(SEARCH("DEGISECEK",D313)),ISNUMBER(SEARCH("DEĞİŞİM",D313)),ISNUMBER(SEARCH("DEGISIM",D313))),"PARÇA DEĞİŞİMİ",""))</f>
        <v/>
      </c>
      <c r="G313" s="47">
        <f>IF(AND(D313&lt;&gt;"",E313&lt;&gt;"",D313&lt;&gt;E313),"GÜNCELLENDİ","")</f>
        <v/>
      </c>
      <c r="H313" s="48" t="n"/>
    </row>
    <row r="314">
      <c r="A314" s="47" t="n"/>
      <c r="B314" s="47" t="n"/>
      <c r="C314" s="47" t="n"/>
      <c r="D314" s="47" t="n"/>
      <c r="E314" s="47" t="n"/>
      <c r="F314" s="47">
        <f>IF(D314="","",IF(OR(ISNUMBER(SEARCH("PARÇA DEĞİŞ",D314)),ISNUMBER(SEARCH("PARCA DEGIS",D314)),ISNUMBER(SEARCH("DEĞİŞECEK",D314)),ISNUMBER(SEARCH("DEGISECEK",D314)),ISNUMBER(SEARCH("DEĞİŞİM",D314)),ISNUMBER(SEARCH("DEGISIM",D314))),"PARÇA DEĞİŞİMİ",""))</f>
        <v/>
      </c>
      <c r="G314" s="47">
        <f>IF(AND(D314&lt;&gt;"",E314&lt;&gt;"",D314&lt;&gt;E314),"GÜNCELLENDİ","")</f>
        <v/>
      </c>
      <c r="H314" s="48" t="n"/>
    </row>
    <row r="315">
      <c r="A315" s="47" t="n"/>
      <c r="B315" s="47" t="n"/>
      <c r="C315" s="47" t="n"/>
      <c r="D315" s="47" t="n"/>
      <c r="E315" s="47" t="n"/>
      <c r="F315" s="47">
        <f>IF(D315="","",IF(OR(ISNUMBER(SEARCH("PARÇA DEĞİŞ",D315)),ISNUMBER(SEARCH("PARCA DEGIS",D315)),ISNUMBER(SEARCH("DEĞİŞECEK",D315)),ISNUMBER(SEARCH("DEGISECEK",D315)),ISNUMBER(SEARCH("DEĞİŞİM",D315)),ISNUMBER(SEARCH("DEGISIM",D315))),"PARÇA DEĞİŞİMİ",""))</f>
        <v/>
      </c>
      <c r="G315" s="47">
        <f>IF(AND(D315&lt;&gt;"",E315&lt;&gt;"",D315&lt;&gt;E315),"GÜNCELLENDİ","")</f>
        <v/>
      </c>
      <c r="H315" s="48" t="n"/>
    </row>
    <row r="316">
      <c r="A316" s="47" t="n"/>
      <c r="B316" s="47" t="n"/>
      <c r="C316" s="47" t="n"/>
      <c r="D316" s="47" t="n"/>
      <c r="E316" s="47" t="n"/>
      <c r="F316" s="47">
        <f>IF(D316="","",IF(OR(ISNUMBER(SEARCH("PARÇA DEĞİŞ",D316)),ISNUMBER(SEARCH("PARCA DEGIS",D316)),ISNUMBER(SEARCH("DEĞİŞECEK",D316)),ISNUMBER(SEARCH("DEGISECEK",D316)),ISNUMBER(SEARCH("DEĞİŞİM",D316)),ISNUMBER(SEARCH("DEGISIM",D316))),"PARÇA DEĞİŞİMİ",""))</f>
        <v/>
      </c>
      <c r="G316" s="47">
        <f>IF(AND(D316&lt;&gt;"",E316&lt;&gt;"",D316&lt;&gt;E316),"GÜNCELLENDİ","")</f>
        <v/>
      </c>
      <c r="H316" s="48" t="n"/>
    </row>
    <row r="317">
      <c r="A317" s="47" t="n"/>
      <c r="B317" s="47" t="n"/>
      <c r="C317" s="47" t="n"/>
      <c r="D317" s="47" t="n"/>
      <c r="E317" s="47" t="n"/>
      <c r="F317" s="47">
        <f>IF(D317="","",IF(OR(ISNUMBER(SEARCH("PARÇA DEĞİŞ",D317)),ISNUMBER(SEARCH("PARCA DEGIS",D317)),ISNUMBER(SEARCH("DEĞİŞECEK",D317)),ISNUMBER(SEARCH("DEGISECEK",D317)),ISNUMBER(SEARCH("DEĞİŞİM",D317)),ISNUMBER(SEARCH("DEGISIM",D317))),"PARÇA DEĞİŞİMİ",""))</f>
        <v/>
      </c>
      <c r="G317" s="47">
        <f>IF(AND(D317&lt;&gt;"",E317&lt;&gt;"",D317&lt;&gt;E317),"GÜNCELLENDİ","")</f>
        <v/>
      </c>
      <c r="H317" s="48" t="n"/>
    </row>
    <row r="318">
      <c r="A318" s="47" t="n"/>
      <c r="B318" s="47" t="n"/>
      <c r="C318" s="47" t="n"/>
      <c r="D318" s="47" t="n"/>
      <c r="E318" s="47" t="n"/>
      <c r="F318" s="47">
        <f>IF(D318="","",IF(OR(ISNUMBER(SEARCH("PARÇA DEĞİŞ",D318)),ISNUMBER(SEARCH("PARCA DEGIS",D318)),ISNUMBER(SEARCH("DEĞİŞECEK",D318)),ISNUMBER(SEARCH("DEGISECEK",D318)),ISNUMBER(SEARCH("DEĞİŞİM",D318)),ISNUMBER(SEARCH("DEGISIM",D318))),"PARÇA DEĞİŞİMİ",""))</f>
        <v/>
      </c>
      <c r="G318" s="47">
        <f>IF(AND(D318&lt;&gt;"",E318&lt;&gt;"",D318&lt;&gt;E318),"GÜNCELLENDİ","")</f>
        <v/>
      </c>
      <c r="H318" s="48" t="n"/>
    </row>
    <row r="319">
      <c r="A319" s="47" t="n"/>
      <c r="B319" s="47" t="n"/>
      <c r="C319" s="47" t="n"/>
      <c r="D319" s="47" t="n"/>
      <c r="E319" s="47" t="n"/>
      <c r="F319" s="47">
        <f>IF(D319="","",IF(OR(ISNUMBER(SEARCH("PARÇA DEĞİŞ",D319)),ISNUMBER(SEARCH("PARCA DEGIS",D319)),ISNUMBER(SEARCH("DEĞİŞECEK",D319)),ISNUMBER(SEARCH("DEGISECEK",D319)),ISNUMBER(SEARCH("DEĞİŞİM",D319)),ISNUMBER(SEARCH("DEGISIM",D319))),"PARÇA DEĞİŞİMİ",""))</f>
        <v/>
      </c>
      <c r="G319" s="47">
        <f>IF(AND(D319&lt;&gt;"",E319&lt;&gt;"",D319&lt;&gt;E319),"GÜNCELLENDİ","")</f>
        <v/>
      </c>
      <c r="H319" s="48" t="n"/>
    </row>
    <row r="320">
      <c r="A320" s="47" t="n"/>
      <c r="B320" s="47" t="n"/>
      <c r="C320" s="47" t="n"/>
      <c r="D320" s="47" t="n"/>
      <c r="E320" s="47" t="n"/>
      <c r="F320" s="47">
        <f>IF(D320="","",IF(OR(ISNUMBER(SEARCH("PARÇA DEĞİŞ",D320)),ISNUMBER(SEARCH("PARCA DEGIS",D320)),ISNUMBER(SEARCH("DEĞİŞECEK",D320)),ISNUMBER(SEARCH("DEGISECEK",D320)),ISNUMBER(SEARCH("DEĞİŞİM",D320)),ISNUMBER(SEARCH("DEGISIM",D320))),"PARÇA DEĞİŞİMİ",""))</f>
        <v/>
      </c>
      <c r="G320" s="47">
        <f>IF(AND(D320&lt;&gt;"",E320&lt;&gt;"",D320&lt;&gt;E320),"GÜNCELLENDİ","")</f>
        <v/>
      </c>
      <c r="H320" s="48" t="n"/>
    </row>
    <row r="321">
      <c r="A321" s="47" t="n"/>
      <c r="B321" s="47" t="n"/>
      <c r="C321" s="47" t="n"/>
      <c r="D321" s="47" t="n"/>
      <c r="E321" s="47" t="n"/>
      <c r="F321" s="47">
        <f>IF(D321="","",IF(OR(ISNUMBER(SEARCH("PARÇA DEĞİŞ",D321)),ISNUMBER(SEARCH("PARCA DEGIS",D321)),ISNUMBER(SEARCH("DEĞİŞECEK",D321)),ISNUMBER(SEARCH("DEGISECEK",D321)),ISNUMBER(SEARCH("DEĞİŞİM",D321)),ISNUMBER(SEARCH("DEGISIM",D321))),"PARÇA DEĞİŞİMİ",""))</f>
        <v/>
      </c>
      <c r="G321" s="47">
        <f>IF(AND(D321&lt;&gt;"",E321&lt;&gt;"",D321&lt;&gt;E321),"GÜNCELLENDİ","")</f>
        <v/>
      </c>
      <c r="H321" s="48" t="n"/>
    </row>
    <row r="322">
      <c r="A322" s="47" t="n"/>
      <c r="B322" s="47" t="n"/>
      <c r="C322" s="47" t="n"/>
      <c r="D322" s="47" t="n"/>
      <c r="E322" s="47" t="n"/>
      <c r="F322" s="47">
        <f>IF(D322="","",IF(OR(ISNUMBER(SEARCH("PARÇA DEĞİŞ",D322)),ISNUMBER(SEARCH("PARCA DEGIS",D322)),ISNUMBER(SEARCH("DEĞİŞECEK",D322)),ISNUMBER(SEARCH("DEGISECEK",D322)),ISNUMBER(SEARCH("DEĞİŞİM",D322)),ISNUMBER(SEARCH("DEGISIM",D322))),"PARÇA DEĞİŞİMİ",""))</f>
        <v/>
      </c>
      <c r="G322" s="47">
        <f>IF(AND(D322&lt;&gt;"",E322&lt;&gt;"",D322&lt;&gt;E322),"GÜNCELLENDİ","")</f>
        <v/>
      </c>
      <c r="H322" s="48" t="n"/>
    </row>
    <row r="323">
      <c r="A323" s="47" t="n"/>
      <c r="B323" s="47" t="n"/>
      <c r="C323" s="47" t="n"/>
      <c r="D323" s="47" t="n"/>
      <c r="E323" s="47" t="n"/>
      <c r="F323" s="47">
        <f>IF(D323="","",IF(OR(ISNUMBER(SEARCH("PARÇA DEĞİŞ",D323)),ISNUMBER(SEARCH("PARCA DEGIS",D323)),ISNUMBER(SEARCH("DEĞİŞECEK",D323)),ISNUMBER(SEARCH("DEGISECEK",D323)),ISNUMBER(SEARCH("DEĞİŞİM",D323)),ISNUMBER(SEARCH("DEGISIM",D323))),"PARÇA DEĞİŞİMİ",""))</f>
        <v/>
      </c>
      <c r="G323" s="47">
        <f>IF(AND(D323&lt;&gt;"",E323&lt;&gt;"",D323&lt;&gt;E323),"GÜNCELLENDİ","")</f>
        <v/>
      </c>
      <c r="H323" s="48" t="n"/>
    </row>
    <row r="324">
      <c r="A324" s="47" t="n"/>
      <c r="B324" s="47" t="n"/>
      <c r="C324" s="47" t="n"/>
      <c r="D324" s="47" t="n"/>
      <c r="E324" s="47" t="n"/>
      <c r="F324" s="47">
        <f>IF(D324="","",IF(OR(ISNUMBER(SEARCH("PARÇA DEĞİŞ",D324)),ISNUMBER(SEARCH("PARCA DEGIS",D324)),ISNUMBER(SEARCH("DEĞİŞECEK",D324)),ISNUMBER(SEARCH("DEGISECEK",D324)),ISNUMBER(SEARCH("DEĞİŞİM",D324)),ISNUMBER(SEARCH("DEGISIM",D324))),"PARÇA DEĞİŞİMİ",""))</f>
        <v/>
      </c>
      <c r="G324" s="47">
        <f>IF(AND(D324&lt;&gt;"",E324&lt;&gt;"",D324&lt;&gt;E324),"GÜNCELLENDİ","")</f>
        <v/>
      </c>
      <c r="H324" s="48" t="n"/>
    </row>
    <row r="325">
      <c r="A325" s="47" t="n"/>
      <c r="B325" s="47" t="n"/>
      <c r="C325" s="47" t="n"/>
      <c r="D325" s="47" t="n"/>
      <c r="E325" s="47" t="n"/>
      <c r="F325" s="47">
        <f>IF(D325="","",IF(OR(ISNUMBER(SEARCH("PARÇA DEĞİŞ",D325)),ISNUMBER(SEARCH("PARCA DEGIS",D325)),ISNUMBER(SEARCH("DEĞİŞECEK",D325)),ISNUMBER(SEARCH("DEGISECEK",D325)),ISNUMBER(SEARCH("DEĞİŞİM",D325)),ISNUMBER(SEARCH("DEGISIM",D325))),"PARÇA DEĞİŞİMİ",""))</f>
        <v/>
      </c>
      <c r="G325" s="47">
        <f>IF(AND(D325&lt;&gt;"",E325&lt;&gt;"",D325&lt;&gt;E325),"GÜNCELLENDİ","")</f>
        <v/>
      </c>
      <c r="H325" s="48" t="n"/>
    </row>
    <row r="326">
      <c r="A326" s="47" t="n"/>
      <c r="B326" s="47" t="n"/>
      <c r="C326" s="47" t="n"/>
      <c r="D326" s="47" t="n"/>
      <c r="E326" s="47" t="n"/>
      <c r="F326" s="47">
        <f>IF(D326="","",IF(OR(ISNUMBER(SEARCH("PARÇA DEĞİŞ",D326)),ISNUMBER(SEARCH("PARCA DEGIS",D326)),ISNUMBER(SEARCH("DEĞİŞECEK",D326)),ISNUMBER(SEARCH("DEGISECEK",D326)),ISNUMBER(SEARCH("DEĞİŞİM",D326)),ISNUMBER(SEARCH("DEGISIM",D326))),"PARÇA DEĞİŞİMİ",""))</f>
        <v/>
      </c>
      <c r="G326" s="47">
        <f>IF(AND(D326&lt;&gt;"",E326&lt;&gt;"",D326&lt;&gt;E326),"GÜNCELLENDİ","")</f>
        <v/>
      </c>
      <c r="H326" s="48" t="n"/>
    </row>
    <row r="327">
      <c r="A327" s="47" t="n"/>
      <c r="B327" s="47" t="n"/>
      <c r="C327" s="47" t="n"/>
      <c r="D327" s="47" t="n"/>
      <c r="E327" s="47" t="n"/>
      <c r="F327" s="47">
        <f>IF(D327="","",IF(OR(ISNUMBER(SEARCH("PARÇA DEĞİŞ",D327)),ISNUMBER(SEARCH("PARCA DEGIS",D327)),ISNUMBER(SEARCH("DEĞİŞECEK",D327)),ISNUMBER(SEARCH("DEGISECEK",D327)),ISNUMBER(SEARCH("DEĞİŞİM",D327)),ISNUMBER(SEARCH("DEGISIM",D327))),"PARÇA DEĞİŞİMİ",""))</f>
        <v/>
      </c>
      <c r="G327" s="47">
        <f>IF(AND(D327&lt;&gt;"",E327&lt;&gt;"",D327&lt;&gt;E327),"GÜNCELLENDİ","")</f>
        <v/>
      </c>
      <c r="H327" s="48" t="n"/>
    </row>
    <row r="328">
      <c r="A328" s="47" t="n"/>
      <c r="B328" s="47" t="n"/>
      <c r="C328" s="47" t="n"/>
      <c r="D328" s="47" t="n"/>
      <c r="E328" s="47" t="n"/>
      <c r="F328" s="47">
        <f>IF(D328="","",IF(OR(ISNUMBER(SEARCH("PARÇA DEĞİŞ",D328)),ISNUMBER(SEARCH("PARCA DEGIS",D328)),ISNUMBER(SEARCH("DEĞİŞECEK",D328)),ISNUMBER(SEARCH("DEGISECEK",D328)),ISNUMBER(SEARCH("DEĞİŞİM",D328)),ISNUMBER(SEARCH("DEGISIM",D328))),"PARÇA DEĞİŞİMİ",""))</f>
        <v/>
      </c>
      <c r="G328" s="47">
        <f>IF(AND(D328&lt;&gt;"",E328&lt;&gt;"",D328&lt;&gt;E328),"GÜNCELLENDİ","")</f>
        <v/>
      </c>
      <c r="H328" s="48" t="n"/>
    </row>
    <row r="329">
      <c r="A329" s="47" t="n"/>
      <c r="B329" s="47" t="n"/>
      <c r="C329" s="47" t="n"/>
      <c r="D329" s="47" t="n"/>
      <c r="E329" s="47" t="n"/>
      <c r="F329" s="47">
        <f>IF(D329="","",IF(OR(ISNUMBER(SEARCH("PARÇA DEĞİŞ",D329)),ISNUMBER(SEARCH("PARCA DEGIS",D329)),ISNUMBER(SEARCH("DEĞİŞECEK",D329)),ISNUMBER(SEARCH("DEGISECEK",D329)),ISNUMBER(SEARCH("DEĞİŞİM",D329)),ISNUMBER(SEARCH("DEGISIM",D329))),"PARÇA DEĞİŞİMİ",""))</f>
        <v/>
      </c>
      <c r="G329" s="47">
        <f>IF(AND(D329&lt;&gt;"",E329&lt;&gt;"",D329&lt;&gt;E329),"GÜNCELLENDİ","")</f>
        <v/>
      </c>
      <c r="H329" s="48" t="n"/>
    </row>
    <row r="330">
      <c r="A330" s="47" t="n"/>
      <c r="B330" s="47" t="n"/>
      <c r="C330" s="47" t="n"/>
      <c r="D330" s="47" t="n"/>
      <c r="E330" s="47" t="n"/>
      <c r="F330" s="47">
        <f>IF(D330="","",IF(OR(ISNUMBER(SEARCH("PARÇA DEĞİŞ",D330)),ISNUMBER(SEARCH("PARCA DEGIS",D330)),ISNUMBER(SEARCH("DEĞİŞECEK",D330)),ISNUMBER(SEARCH("DEGISECEK",D330)),ISNUMBER(SEARCH("DEĞİŞİM",D330)),ISNUMBER(SEARCH("DEGISIM",D330))),"PARÇA DEĞİŞİMİ",""))</f>
        <v/>
      </c>
      <c r="G330" s="47">
        <f>IF(AND(D330&lt;&gt;"",E330&lt;&gt;"",D330&lt;&gt;E330),"GÜNCELLENDİ","")</f>
        <v/>
      </c>
      <c r="H330" s="48" t="n"/>
    </row>
    <row r="331">
      <c r="A331" s="47" t="n"/>
      <c r="B331" s="47" t="n"/>
      <c r="C331" s="47" t="n"/>
      <c r="D331" s="47" t="n"/>
      <c r="E331" s="47" t="n"/>
      <c r="F331" s="47">
        <f>IF(D331="","",IF(OR(ISNUMBER(SEARCH("PARÇA DEĞİŞ",D331)),ISNUMBER(SEARCH("PARCA DEGIS",D331)),ISNUMBER(SEARCH("DEĞİŞECEK",D331)),ISNUMBER(SEARCH("DEGISECEK",D331)),ISNUMBER(SEARCH("DEĞİŞİM",D331)),ISNUMBER(SEARCH("DEGISIM",D331))),"PARÇA DEĞİŞİMİ",""))</f>
        <v/>
      </c>
      <c r="G331" s="47">
        <f>IF(AND(D331&lt;&gt;"",E331&lt;&gt;"",D331&lt;&gt;E331),"GÜNCELLENDİ","")</f>
        <v/>
      </c>
      <c r="H331" s="48" t="n"/>
    </row>
    <row r="332">
      <c r="A332" s="47" t="n"/>
      <c r="B332" s="47" t="n"/>
      <c r="C332" s="47" t="n"/>
      <c r="D332" s="47" t="n"/>
      <c r="E332" s="47" t="n"/>
      <c r="F332" s="47">
        <f>IF(D332="","",IF(OR(ISNUMBER(SEARCH("PARÇA DEĞİŞ",D332)),ISNUMBER(SEARCH("PARCA DEGIS",D332)),ISNUMBER(SEARCH("DEĞİŞECEK",D332)),ISNUMBER(SEARCH("DEGISECEK",D332)),ISNUMBER(SEARCH("DEĞİŞİM",D332)),ISNUMBER(SEARCH("DEGISIM",D332))),"PARÇA DEĞİŞİMİ",""))</f>
        <v/>
      </c>
      <c r="G332" s="47">
        <f>IF(AND(D332&lt;&gt;"",E332&lt;&gt;"",D332&lt;&gt;E332),"GÜNCELLENDİ","")</f>
        <v/>
      </c>
      <c r="H332" s="48" t="n"/>
    </row>
    <row r="333">
      <c r="A333" s="47" t="n"/>
      <c r="B333" s="47" t="n"/>
      <c r="C333" s="47" t="n"/>
      <c r="D333" s="47" t="n"/>
      <c r="E333" s="47" t="n"/>
      <c r="F333" s="47">
        <f>IF(D333="","",IF(OR(ISNUMBER(SEARCH("PARÇA DEĞİŞ",D333)),ISNUMBER(SEARCH("PARCA DEGIS",D333)),ISNUMBER(SEARCH("DEĞİŞECEK",D333)),ISNUMBER(SEARCH("DEGISECEK",D333)),ISNUMBER(SEARCH("DEĞİŞİM",D333)),ISNUMBER(SEARCH("DEGISIM",D333))),"PARÇA DEĞİŞİMİ",""))</f>
        <v/>
      </c>
      <c r="G333" s="47">
        <f>IF(AND(D333&lt;&gt;"",E333&lt;&gt;"",D333&lt;&gt;E333),"GÜNCELLENDİ","")</f>
        <v/>
      </c>
      <c r="H333" s="48" t="n"/>
    </row>
    <row r="334">
      <c r="A334" s="47" t="n"/>
      <c r="B334" s="47" t="n"/>
      <c r="C334" s="47" t="n"/>
      <c r="D334" s="47" t="n"/>
      <c r="E334" s="47" t="n"/>
      <c r="F334" s="47">
        <f>IF(D334="","",IF(OR(ISNUMBER(SEARCH("PARÇA DEĞİŞ",D334)),ISNUMBER(SEARCH("PARCA DEGIS",D334)),ISNUMBER(SEARCH("DEĞİŞECEK",D334)),ISNUMBER(SEARCH("DEGISECEK",D334)),ISNUMBER(SEARCH("DEĞİŞİM",D334)),ISNUMBER(SEARCH("DEGISIM",D334))),"PARÇA DEĞİŞİMİ",""))</f>
        <v/>
      </c>
      <c r="G334" s="47">
        <f>IF(AND(D334&lt;&gt;"",E334&lt;&gt;"",D334&lt;&gt;E334),"GÜNCELLENDİ","")</f>
        <v/>
      </c>
      <c r="H334" s="48" t="n"/>
    </row>
    <row r="335">
      <c r="A335" s="47" t="n"/>
      <c r="B335" s="47" t="n"/>
      <c r="C335" s="47" t="n"/>
      <c r="D335" s="47" t="n"/>
      <c r="E335" s="47" t="n"/>
      <c r="F335" s="47">
        <f>IF(D335="","",IF(OR(ISNUMBER(SEARCH("PARÇA DEĞİŞ",D335)),ISNUMBER(SEARCH("PARCA DEGIS",D335)),ISNUMBER(SEARCH("DEĞİŞECEK",D335)),ISNUMBER(SEARCH("DEGISECEK",D335)),ISNUMBER(SEARCH("DEĞİŞİM",D335)),ISNUMBER(SEARCH("DEGISIM",D335))),"PARÇA DEĞİŞİMİ",""))</f>
        <v/>
      </c>
      <c r="G335" s="47">
        <f>IF(AND(D335&lt;&gt;"",E335&lt;&gt;"",D335&lt;&gt;E335),"GÜNCELLENDİ","")</f>
        <v/>
      </c>
      <c r="H335" s="48" t="n"/>
    </row>
    <row r="336">
      <c r="A336" s="47" t="n"/>
      <c r="B336" s="47" t="n"/>
      <c r="C336" s="47" t="n"/>
      <c r="D336" s="47" t="n"/>
      <c r="E336" s="47" t="n"/>
      <c r="F336" s="47">
        <f>IF(D336="","",IF(OR(ISNUMBER(SEARCH("PARÇA DEĞİŞ",D336)),ISNUMBER(SEARCH("PARCA DEGIS",D336)),ISNUMBER(SEARCH("DEĞİŞECEK",D336)),ISNUMBER(SEARCH("DEGISECEK",D336)),ISNUMBER(SEARCH("DEĞİŞİM",D336)),ISNUMBER(SEARCH("DEGISIM",D336))),"PARÇA DEĞİŞİMİ",""))</f>
        <v/>
      </c>
      <c r="G336" s="47">
        <f>IF(AND(D336&lt;&gt;"",E336&lt;&gt;"",D336&lt;&gt;E336),"GÜNCELLENDİ","")</f>
        <v/>
      </c>
      <c r="H336" s="48" t="n"/>
    </row>
    <row r="337">
      <c r="A337" s="47" t="n"/>
      <c r="B337" s="47" t="n"/>
      <c r="C337" s="47" t="n"/>
      <c r="D337" s="47" t="n"/>
      <c r="E337" s="47" t="n"/>
      <c r="F337" s="47">
        <f>IF(D337="","",IF(OR(ISNUMBER(SEARCH("PARÇA DEĞİŞ",D337)),ISNUMBER(SEARCH("PARCA DEGIS",D337)),ISNUMBER(SEARCH("DEĞİŞECEK",D337)),ISNUMBER(SEARCH("DEGISECEK",D337)),ISNUMBER(SEARCH("DEĞİŞİM",D337)),ISNUMBER(SEARCH("DEGISIM",D337))),"PARÇA DEĞİŞİMİ",""))</f>
        <v/>
      </c>
      <c r="G337" s="47">
        <f>IF(AND(D337&lt;&gt;"",E337&lt;&gt;"",D337&lt;&gt;E337),"GÜNCELLENDİ","")</f>
        <v/>
      </c>
      <c r="H337" s="48" t="n"/>
    </row>
    <row r="338">
      <c r="A338" s="47" t="n"/>
      <c r="B338" s="47" t="n"/>
      <c r="C338" s="47" t="n"/>
      <c r="D338" s="47" t="n"/>
      <c r="E338" s="47" t="n"/>
      <c r="F338" s="47">
        <f>IF(D338="","",IF(OR(ISNUMBER(SEARCH("PARÇA DEĞİŞ",D338)),ISNUMBER(SEARCH("PARCA DEGIS",D338)),ISNUMBER(SEARCH("DEĞİŞECEK",D338)),ISNUMBER(SEARCH("DEGISECEK",D338)),ISNUMBER(SEARCH("DEĞİŞİM",D338)),ISNUMBER(SEARCH("DEGISIM",D338))),"PARÇA DEĞİŞİMİ",""))</f>
        <v/>
      </c>
      <c r="G338" s="47">
        <f>IF(AND(D338&lt;&gt;"",E338&lt;&gt;"",D338&lt;&gt;E338),"GÜNCELLENDİ","")</f>
        <v/>
      </c>
      <c r="H338" s="48" t="n"/>
    </row>
    <row r="339">
      <c r="A339" s="47" t="n"/>
      <c r="B339" s="47" t="n"/>
      <c r="C339" s="47" t="n"/>
      <c r="D339" s="47" t="n"/>
      <c r="E339" s="47" t="n"/>
      <c r="F339" s="47">
        <f>IF(D339="","",IF(OR(ISNUMBER(SEARCH("PARÇA DEĞİŞ",D339)),ISNUMBER(SEARCH("PARCA DEGIS",D339)),ISNUMBER(SEARCH("DEĞİŞECEK",D339)),ISNUMBER(SEARCH("DEGISECEK",D339)),ISNUMBER(SEARCH("DEĞİŞİM",D339)),ISNUMBER(SEARCH("DEGISIM",D339))),"PARÇA DEĞİŞİMİ",""))</f>
        <v/>
      </c>
      <c r="G339" s="47">
        <f>IF(AND(D339&lt;&gt;"",E339&lt;&gt;"",D339&lt;&gt;E339),"GÜNCELLENDİ","")</f>
        <v/>
      </c>
      <c r="H339" s="48" t="n"/>
    </row>
    <row r="340">
      <c r="A340" s="47" t="n"/>
      <c r="B340" s="47" t="n"/>
      <c r="C340" s="47" t="n"/>
      <c r="D340" s="47" t="n"/>
      <c r="E340" s="47" t="n"/>
      <c r="F340" s="47">
        <f>IF(D340="","",IF(OR(ISNUMBER(SEARCH("PARÇA DEĞİŞ",D340)),ISNUMBER(SEARCH("PARCA DEGIS",D340)),ISNUMBER(SEARCH("DEĞİŞECEK",D340)),ISNUMBER(SEARCH("DEGISECEK",D340)),ISNUMBER(SEARCH("DEĞİŞİM",D340)),ISNUMBER(SEARCH("DEGISIM",D340))),"PARÇA DEĞİŞİMİ",""))</f>
        <v/>
      </c>
      <c r="G340" s="47">
        <f>IF(AND(D340&lt;&gt;"",E340&lt;&gt;"",D340&lt;&gt;E340),"GÜNCELLENDİ","")</f>
        <v/>
      </c>
      <c r="H340" s="48" t="n"/>
    </row>
    <row r="341">
      <c r="A341" s="47" t="n"/>
      <c r="B341" s="47" t="n"/>
      <c r="C341" s="47" t="n"/>
      <c r="D341" s="47" t="n"/>
      <c r="E341" s="47" t="n"/>
      <c r="F341" s="47">
        <f>IF(D341="","",IF(OR(ISNUMBER(SEARCH("PARÇA DEĞİŞ",D341)),ISNUMBER(SEARCH("PARCA DEGIS",D341)),ISNUMBER(SEARCH("DEĞİŞECEK",D341)),ISNUMBER(SEARCH("DEGISECEK",D341)),ISNUMBER(SEARCH("DEĞİŞİM",D341)),ISNUMBER(SEARCH("DEGISIM",D341))),"PARÇA DEĞİŞİMİ",""))</f>
        <v/>
      </c>
      <c r="G341" s="47">
        <f>IF(AND(D341&lt;&gt;"",E341&lt;&gt;"",D341&lt;&gt;E341),"GÜNCELLENDİ","")</f>
        <v/>
      </c>
      <c r="H341" s="48" t="n"/>
    </row>
    <row r="342">
      <c r="A342" s="47" t="n"/>
      <c r="B342" s="47" t="n"/>
      <c r="C342" s="47" t="n"/>
      <c r="D342" s="47" t="n"/>
      <c r="E342" s="47" t="n"/>
      <c r="F342" s="47">
        <f>IF(D342="","",IF(OR(ISNUMBER(SEARCH("PARÇA DEĞİŞ",D342)),ISNUMBER(SEARCH("PARCA DEGIS",D342)),ISNUMBER(SEARCH("DEĞİŞECEK",D342)),ISNUMBER(SEARCH("DEGISECEK",D342)),ISNUMBER(SEARCH("DEĞİŞİM",D342)),ISNUMBER(SEARCH("DEGISIM",D342))),"PARÇA DEĞİŞİMİ",""))</f>
        <v/>
      </c>
      <c r="G342" s="47">
        <f>IF(AND(D342&lt;&gt;"",E342&lt;&gt;"",D342&lt;&gt;E342),"GÜNCELLENDİ","")</f>
        <v/>
      </c>
      <c r="H342" s="48" t="n"/>
    </row>
    <row r="343">
      <c r="A343" s="47" t="n"/>
      <c r="B343" s="47" t="n"/>
      <c r="C343" s="47" t="n"/>
      <c r="D343" s="47" t="n"/>
      <c r="E343" s="47" t="n"/>
      <c r="F343" s="47">
        <f>IF(D343="","",IF(OR(ISNUMBER(SEARCH("PARÇA DEĞİŞ",D343)),ISNUMBER(SEARCH("PARCA DEGIS",D343)),ISNUMBER(SEARCH("DEĞİŞECEK",D343)),ISNUMBER(SEARCH("DEGISECEK",D343)),ISNUMBER(SEARCH("DEĞİŞİM",D343)),ISNUMBER(SEARCH("DEGISIM",D343))),"PARÇA DEĞİŞİMİ",""))</f>
        <v/>
      </c>
      <c r="G343" s="47">
        <f>IF(AND(D343&lt;&gt;"",E343&lt;&gt;"",D343&lt;&gt;E343),"GÜNCELLENDİ","")</f>
        <v/>
      </c>
      <c r="H343" s="48" t="n"/>
    </row>
    <row r="344">
      <c r="A344" s="47" t="n"/>
      <c r="B344" s="47" t="n"/>
      <c r="C344" s="47" t="n"/>
      <c r="D344" s="47" t="n"/>
      <c r="E344" s="47" t="n"/>
      <c r="F344" s="47">
        <f>IF(D344="","",IF(OR(ISNUMBER(SEARCH("PARÇA DEĞİŞ",D344)),ISNUMBER(SEARCH("PARCA DEGIS",D344)),ISNUMBER(SEARCH("DEĞİŞECEK",D344)),ISNUMBER(SEARCH("DEGISECEK",D344)),ISNUMBER(SEARCH("DEĞİŞİM",D344)),ISNUMBER(SEARCH("DEGISIM",D344))),"PARÇA DEĞİŞİMİ",""))</f>
        <v/>
      </c>
      <c r="G344" s="47">
        <f>IF(AND(D344&lt;&gt;"",E344&lt;&gt;"",D344&lt;&gt;E344),"GÜNCELLENDİ","")</f>
        <v/>
      </c>
      <c r="H344" s="48" t="n"/>
    </row>
    <row r="345">
      <c r="A345" s="47" t="n"/>
      <c r="B345" s="47" t="n"/>
      <c r="C345" s="47" t="n"/>
      <c r="D345" s="47" t="n"/>
      <c r="E345" s="47" t="n"/>
      <c r="F345" s="47">
        <f>IF(D345="","",IF(OR(ISNUMBER(SEARCH("PARÇA DEĞİŞ",D345)),ISNUMBER(SEARCH("PARCA DEGIS",D345)),ISNUMBER(SEARCH("DEĞİŞECEK",D345)),ISNUMBER(SEARCH("DEGISECEK",D345)),ISNUMBER(SEARCH("DEĞİŞİM",D345)),ISNUMBER(SEARCH("DEGISIM",D345))),"PARÇA DEĞİŞİMİ",""))</f>
        <v/>
      </c>
      <c r="G345" s="47">
        <f>IF(AND(D345&lt;&gt;"",E345&lt;&gt;"",D345&lt;&gt;E345),"GÜNCELLENDİ","")</f>
        <v/>
      </c>
      <c r="H345" s="48" t="n"/>
    </row>
    <row r="346">
      <c r="A346" s="47" t="n"/>
      <c r="B346" s="47" t="n"/>
      <c r="C346" s="47" t="n"/>
      <c r="D346" s="47" t="n"/>
      <c r="E346" s="47" t="n"/>
      <c r="F346" s="47">
        <f>IF(D346="","",IF(OR(ISNUMBER(SEARCH("PARÇA DEĞİŞ",D346)),ISNUMBER(SEARCH("PARCA DEGIS",D346)),ISNUMBER(SEARCH("DEĞİŞECEK",D346)),ISNUMBER(SEARCH("DEGISECEK",D346)),ISNUMBER(SEARCH("DEĞİŞİM",D346)),ISNUMBER(SEARCH("DEGISIM",D346))),"PARÇA DEĞİŞİMİ",""))</f>
        <v/>
      </c>
      <c r="G346" s="47">
        <f>IF(AND(D346&lt;&gt;"",E346&lt;&gt;"",D346&lt;&gt;E346),"GÜNCELLENDİ","")</f>
        <v/>
      </c>
      <c r="H346" s="48" t="n"/>
    </row>
    <row r="347">
      <c r="A347" s="47" t="n"/>
      <c r="B347" s="47" t="n"/>
      <c r="C347" s="47" t="n"/>
      <c r="D347" s="47" t="n"/>
      <c r="E347" s="47" t="n"/>
      <c r="F347" s="47">
        <f>IF(D347="","",IF(OR(ISNUMBER(SEARCH("PARÇA DEĞİŞ",D347)),ISNUMBER(SEARCH("PARCA DEGIS",D347)),ISNUMBER(SEARCH("DEĞİŞECEK",D347)),ISNUMBER(SEARCH("DEGISECEK",D347)),ISNUMBER(SEARCH("DEĞİŞİM",D347)),ISNUMBER(SEARCH("DEGISIM",D347))),"PARÇA DEĞİŞİMİ",""))</f>
        <v/>
      </c>
      <c r="G347" s="47">
        <f>IF(AND(D347&lt;&gt;"",E347&lt;&gt;"",D347&lt;&gt;E347),"GÜNCELLENDİ","")</f>
        <v/>
      </c>
      <c r="H347" s="48" t="n"/>
    </row>
    <row r="348">
      <c r="A348" s="47" t="n"/>
      <c r="B348" s="47" t="n"/>
      <c r="C348" s="47" t="n"/>
      <c r="D348" s="47" t="n"/>
      <c r="E348" s="47" t="n"/>
      <c r="F348" s="47">
        <f>IF(D348="","",IF(OR(ISNUMBER(SEARCH("PARÇA DEĞİŞ",D348)),ISNUMBER(SEARCH("PARCA DEGIS",D348)),ISNUMBER(SEARCH("DEĞİŞECEK",D348)),ISNUMBER(SEARCH("DEGISECEK",D348)),ISNUMBER(SEARCH("DEĞİŞİM",D348)),ISNUMBER(SEARCH("DEGISIM",D348))),"PARÇA DEĞİŞİMİ",""))</f>
        <v/>
      </c>
      <c r="G348" s="47">
        <f>IF(AND(D348&lt;&gt;"",E348&lt;&gt;"",D348&lt;&gt;E348),"GÜNCELLENDİ","")</f>
        <v/>
      </c>
      <c r="H348" s="48" t="n"/>
    </row>
    <row r="349">
      <c r="A349" s="47" t="n"/>
      <c r="B349" s="47" t="n"/>
      <c r="C349" s="47" t="n"/>
      <c r="D349" s="47" t="n"/>
      <c r="E349" s="47" t="n"/>
      <c r="F349" s="47">
        <f>IF(D349="","",IF(OR(ISNUMBER(SEARCH("PARÇA DEĞİŞ",D349)),ISNUMBER(SEARCH("PARCA DEGIS",D349)),ISNUMBER(SEARCH("DEĞİŞECEK",D349)),ISNUMBER(SEARCH("DEGISECEK",D349)),ISNUMBER(SEARCH("DEĞİŞİM",D349)),ISNUMBER(SEARCH("DEGISIM",D349))),"PARÇA DEĞİŞİMİ",""))</f>
        <v/>
      </c>
      <c r="G349" s="47">
        <f>IF(AND(D349&lt;&gt;"",E349&lt;&gt;"",D349&lt;&gt;E349),"GÜNCELLENDİ","")</f>
        <v/>
      </c>
      <c r="H349" s="48" t="n"/>
    </row>
    <row r="350">
      <c r="A350" s="47" t="n"/>
      <c r="B350" s="47" t="n"/>
      <c r="C350" s="47" t="n"/>
      <c r="D350" s="47" t="n"/>
      <c r="E350" s="47" t="n"/>
      <c r="F350" s="47">
        <f>IF(D350="","",IF(OR(ISNUMBER(SEARCH("PARÇA DEĞİŞ",D350)),ISNUMBER(SEARCH("PARCA DEGIS",D350)),ISNUMBER(SEARCH("DEĞİŞECEK",D350)),ISNUMBER(SEARCH("DEGISECEK",D350)),ISNUMBER(SEARCH("DEĞİŞİM",D350)),ISNUMBER(SEARCH("DEGISIM",D350))),"PARÇA DEĞİŞİMİ",""))</f>
        <v/>
      </c>
      <c r="G350" s="47">
        <f>IF(AND(D350&lt;&gt;"",E350&lt;&gt;"",D350&lt;&gt;E350),"GÜNCELLENDİ","")</f>
        <v/>
      </c>
      <c r="H350" s="48" t="n"/>
    </row>
    <row r="351">
      <c r="A351" s="47" t="n"/>
      <c r="B351" s="47" t="n"/>
      <c r="C351" s="47" t="n"/>
      <c r="D351" s="47" t="n"/>
      <c r="E351" s="47" t="n"/>
      <c r="F351" s="47">
        <f>IF(D351="","",IF(OR(ISNUMBER(SEARCH("PARÇA DEĞİŞ",D351)),ISNUMBER(SEARCH("PARCA DEGIS",D351)),ISNUMBER(SEARCH("DEĞİŞECEK",D351)),ISNUMBER(SEARCH("DEGISECEK",D351)),ISNUMBER(SEARCH("DEĞİŞİM",D351)),ISNUMBER(SEARCH("DEGISIM",D351))),"PARÇA DEĞİŞİMİ",""))</f>
        <v/>
      </c>
      <c r="G351" s="47">
        <f>IF(AND(D351&lt;&gt;"",E351&lt;&gt;"",D351&lt;&gt;E351),"GÜNCELLENDİ","")</f>
        <v/>
      </c>
      <c r="H351" s="48" t="n"/>
    </row>
    <row r="352">
      <c r="A352" s="47" t="n"/>
      <c r="B352" s="47" t="n"/>
      <c r="C352" s="47" t="n"/>
      <c r="D352" s="47" t="n"/>
      <c r="E352" s="47" t="n"/>
      <c r="F352" s="47">
        <f>IF(D352="","",IF(OR(ISNUMBER(SEARCH("PARÇA DEĞİŞ",D352)),ISNUMBER(SEARCH("PARCA DEGIS",D352)),ISNUMBER(SEARCH("DEĞİŞECEK",D352)),ISNUMBER(SEARCH("DEGISECEK",D352)),ISNUMBER(SEARCH("DEĞİŞİM",D352)),ISNUMBER(SEARCH("DEGISIM",D352))),"PARÇA DEĞİŞİMİ",""))</f>
        <v/>
      </c>
      <c r="G352" s="47">
        <f>IF(AND(D352&lt;&gt;"",E352&lt;&gt;"",D352&lt;&gt;E352),"GÜNCELLENDİ","")</f>
        <v/>
      </c>
      <c r="H352" s="48" t="n"/>
    </row>
    <row r="353">
      <c r="A353" s="47" t="n"/>
      <c r="B353" s="47" t="n"/>
      <c r="C353" s="47" t="n"/>
      <c r="D353" s="47" t="n"/>
      <c r="E353" s="47" t="n"/>
      <c r="F353" s="47">
        <f>IF(D353="","",IF(OR(ISNUMBER(SEARCH("PARÇA DEĞİŞ",D353)),ISNUMBER(SEARCH("PARCA DEGIS",D353)),ISNUMBER(SEARCH("DEĞİŞECEK",D353)),ISNUMBER(SEARCH("DEGISECEK",D353)),ISNUMBER(SEARCH("DEĞİŞİM",D353)),ISNUMBER(SEARCH("DEGISIM",D353))),"PARÇA DEĞİŞİMİ",""))</f>
        <v/>
      </c>
      <c r="G353" s="47">
        <f>IF(AND(D353&lt;&gt;"",E353&lt;&gt;"",D353&lt;&gt;E353),"GÜNCELLENDİ","")</f>
        <v/>
      </c>
      <c r="H353" s="48" t="n"/>
    </row>
    <row r="354">
      <c r="A354" s="47" t="n"/>
      <c r="B354" s="47" t="n"/>
      <c r="C354" s="47" t="n"/>
      <c r="D354" s="47" t="n"/>
      <c r="E354" s="47" t="n"/>
      <c r="F354" s="47">
        <f>IF(D354="","",IF(OR(ISNUMBER(SEARCH("PARÇA DEĞİŞ",D354)),ISNUMBER(SEARCH("PARCA DEGIS",D354)),ISNUMBER(SEARCH("DEĞİŞECEK",D354)),ISNUMBER(SEARCH("DEGISECEK",D354)),ISNUMBER(SEARCH("DEĞİŞİM",D354)),ISNUMBER(SEARCH("DEGISIM",D354))),"PARÇA DEĞİŞİMİ",""))</f>
        <v/>
      </c>
      <c r="G354" s="47">
        <f>IF(AND(D354&lt;&gt;"",E354&lt;&gt;"",D354&lt;&gt;E354),"GÜNCELLENDİ","")</f>
        <v/>
      </c>
      <c r="H354" s="48" t="n"/>
    </row>
    <row r="355">
      <c r="A355" s="47" t="n"/>
      <c r="B355" s="47" t="n"/>
      <c r="C355" s="47" t="n"/>
      <c r="D355" s="47" t="n"/>
      <c r="E355" s="47" t="n"/>
      <c r="F355" s="47">
        <f>IF(D355="","",IF(OR(ISNUMBER(SEARCH("PARÇA DEĞİŞ",D355)),ISNUMBER(SEARCH("PARCA DEGIS",D355)),ISNUMBER(SEARCH("DEĞİŞECEK",D355)),ISNUMBER(SEARCH("DEGISECEK",D355)),ISNUMBER(SEARCH("DEĞİŞİM",D355)),ISNUMBER(SEARCH("DEGISIM",D355))),"PARÇA DEĞİŞİMİ",""))</f>
        <v/>
      </c>
      <c r="G355" s="47">
        <f>IF(AND(D355&lt;&gt;"",E355&lt;&gt;"",D355&lt;&gt;E355),"GÜNCELLENDİ","")</f>
        <v/>
      </c>
      <c r="H355" s="48" t="n"/>
    </row>
    <row r="356">
      <c r="A356" s="47" t="n"/>
      <c r="B356" s="47" t="n"/>
      <c r="C356" s="47" t="n"/>
      <c r="D356" s="47" t="n"/>
      <c r="E356" s="47" t="n"/>
      <c r="F356" s="47">
        <f>IF(D356="","",IF(OR(ISNUMBER(SEARCH("PARÇA DEĞİŞ",D356)),ISNUMBER(SEARCH("PARCA DEGIS",D356)),ISNUMBER(SEARCH("DEĞİŞECEK",D356)),ISNUMBER(SEARCH("DEGISECEK",D356)),ISNUMBER(SEARCH("DEĞİŞİM",D356)),ISNUMBER(SEARCH("DEGISIM",D356))),"PARÇA DEĞİŞİMİ",""))</f>
        <v/>
      </c>
      <c r="G356" s="47">
        <f>IF(AND(D356&lt;&gt;"",E356&lt;&gt;"",D356&lt;&gt;E356),"GÜNCELLENDİ","")</f>
        <v/>
      </c>
      <c r="H356" s="48" t="n"/>
    </row>
    <row r="357">
      <c r="A357" s="47" t="n"/>
      <c r="B357" s="47" t="n"/>
      <c r="C357" s="47" t="n"/>
      <c r="D357" s="47" t="n"/>
      <c r="E357" s="47" t="n"/>
      <c r="F357" s="47">
        <f>IF(D357="","",IF(OR(ISNUMBER(SEARCH("PARÇA DEĞİŞ",D357)),ISNUMBER(SEARCH("PARCA DEGIS",D357)),ISNUMBER(SEARCH("DEĞİŞECEK",D357)),ISNUMBER(SEARCH("DEGISECEK",D357)),ISNUMBER(SEARCH("DEĞİŞİM",D357)),ISNUMBER(SEARCH("DEGISIM",D357))),"PARÇA DEĞİŞİMİ",""))</f>
        <v/>
      </c>
      <c r="G357" s="47">
        <f>IF(AND(D357&lt;&gt;"",E357&lt;&gt;"",D357&lt;&gt;E357),"GÜNCELLENDİ","")</f>
        <v/>
      </c>
      <c r="H357" s="48" t="n"/>
    </row>
    <row r="358">
      <c r="A358" s="47" t="n"/>
      <c r="B358" s="47" t="n"/>
      <c r="C358" s="47" t="n"/>
      <c r="D358" s="47" t="n"/>
      <c r="E358" s="47" t="n"/>
      <c r="F358" s="47">
        <f>IF(D358="","",IF(OR(ISNUMBER(SEARCH("PARÇA DEĞİŞ",D358)),ISNUMBER(SEARCH("PARCA DEGIS",D358)),ISNUMBER(SEARCH("DEĞİŞECEK",D358)),ISNUMBER(SEARCH("DEGISECEK",D358)),ISNUMBER(SEARCH("DEĞİŞİM",D358)),ISNUMBER(SEARCH("DEGISIM",D358))),"PARÇA DEĞİŞİMİ",""))</f>
        <v/>
      </c>
      <c r="G358" s="47">
        <f>IF(AND(D358&lt;&gt;"",E358&lt;&gt;"",D358&lt;&gt;E358),"GÜNCELLENDİ","")</f>
        <v/>
      </c>
      <c r="H358" s="48" t="n"/>
    </row>
    <row r="359">
      <c r="A359" s="47" t="n"/>
      <c r="B359" s="47" t="n"/>
      <c r="C359" s="47" t="n"/>
      <c r="D359" s="47" t="n"/>
      <c r="E359" s="47" t="n"/>
      <c r="F359" s="47">
        <f>IF(D359="","",IF(OR(ISNUMBER(SEARCH("PARÇA DEĞİŞ",D359)),ISNUMBER(SEARCH("PARCA DEGIS",D359)),ISNUMBER(SEARCH("DEĞİŞECEK",D359)),ISNUMBER(SEARCH("DEGISECEK",D359)),ISNUMBER(SEARCH("DEĞİŞİM",D359)),ISNUMBER(SEARCH("DEGISIM",D359))),"PARÇA DEĞİŞİMİ",""))</f>
        <v/>
      </c>
      <c r="G359" s="47">
        <f>IF(AND(D359&lt;&gt;"",E359&lt;&gt;"",D359&lt;&gt;E359),"GÜNCELLENDİ","")</f>
        <v/>
      </c>
      <c r="H359" s="48" t="n"/>
    </row>
    <row r="360">
      <c r="A360" s="47" t="n"/>
      <c r="B360" s="47" t="n"/>
      <c r="C360" s="47" t="n"/>
      <c r="D360" s="47" t="n"/>
      <c r="E360" s="47" t="n"/>
      <c r="F360" s="47">
        <f>IF(D360="","",IF(OR(ISNUMBER(SEARCH("PARÇA DEĞİŞ",D360)),ISNUMBER(SEARCH("PARCA DEGIS",D360)),ISNUMBER(SEARCH("DEĞİŞECEK",D360)),ISNUMBER(SEARCH("DEGISECEK",D360)),ISNUMBER(SEARCH("DEĞİŞİM",D360)),ISNUMBER(SEARCH("DEGISIM",D360))),"PARÇA DEĞİŞİMİ",""))</f>
        <v/>
      </c>
      <c r="G360" s="47">
        <f>IF(AND(D360&lt;&gt;"",E360&lt;&gt;"",D360&lt;&gt;E360),"GÜNCELLENDİ","")</f>
        <v/>
      </c>
      <c r="H360" s="48" t="n"/>
    </row>
    <row r="361">
      <c r="A361" s="47" t="n"/>
      <c r="B361" s="47" t="n"/>
      <c r="C361" s="47" t="n"/>
      <c r="D361" s="47" t="n"/>
      <c r="E361" s="47" t="n"/>
      <c r="F361" s="47">
        <f>IF(D361="","",IF(OR(ISNUMBER(SEARCH("PARÇA DEĞİŞ",D361)),ISNUMBER(SEARCH("PARCA DEGIS",D361)),ISNUMBER(SEARCH("DEĞİŞECEK",D361)),ISNUMBER(SEARCH("DEGISECEK",D361)),ISNUMBER(SEARCH("DEĞİŞİM",D361)),ISNUMBER(SEARCH("DEGISIM",D361))),"PARÇA DEĞİŞİMİ",""))</f>
        <v/>
      </c>
      <c r="G361" s="47">
        <f>IF(AND(D361&lt;&gt;"",E361&lt;&gt;"",D361&lt;&gt;E361),"GÜNCELLENDİ","")</f>
        <v/>
      </c>
      <c r="H361" s="48" t="n"/>
    </row>
    <row r="362">
      <c r="A362" s="47" t="n"/>
      <c r="B362" s="47" t="n"/>
      <c r="C362" s="47" t="n"/>
      <c r="D362" s="47" t="n"/>
      <c r="E362" s="47" t="n"/>
      <c r="F362" s="47">
        <f>IF(D362="","",IF(OR(ISNUMBER(SEARCH("PARÇA DEĞİŞ",D362)),ISNUMBER(SEARCH("PARCA DEGIS",D362)),ISNUMBER(SEARCH("DEĞİŞECEK",D362)),ISNUMBER(SEARCH("DEGISECEK",D362)),ISNUMBER(SEARCH("DEĞİŞİM",D362)),ISNUMBER(SEARCH("DEGISIM",D362))),"PARÇA DEĞİŞİMİ",""))</f>
        <v/>
      </c>
      <c r="G362" s="47">
        <f>IF(AND(D362&lt;&gt;"",E362&lt;&gt;"",D362&lt;&gt;E362),"GÜNCELLENDİ","")</f>
        <v/>
      </c>
      <c r="H362" s="48" t="n"/>
    </row>
    <row r="363">
      <c r="A363" s="47" t="n"/>
      <c r="B363" s="47" t="n"/>
      <c r="C363" s="47" t="n"/>
      <c r="D363" s="47" t="n"/>
      <c r="E363" s="47" t="n"/>
      <c r="F363" s="47">
        <f>IF(D363="","",IF(OR(ISNUMBER(SEARCH("PARÇA DEĞİŞ",D363)),ISNUMBER(SEARCH("PARCA DEGIS",D363)),ISNUMBER(SEARCH("DEĞİŞECEK",D363)),ISNUMBER(SEARCH("DEGISECEK",D363)),ISNUMBER(SEARCH("DEĞİŞİM",D363)),ISNUMBER(SEARCH("DEGISIM",D363))),"PARÇA DEĞİŞİMİ",""))</f>
        <v/>
      </c>
      <c r="G363" s="47">
        <f>IF(AND(D363&lt;&gt;"",E363&lt;&gt;"",D363&lt;&gt;E363),"GÜNCELLENDİ","")</f>
        <v/>
      </c>
      <c r="H363" s="48" t="n"/>
    </row>
    <row r="364">
      <c r="A364" s="47" t="n"/>
      <c r="B364" s="47" t="n"/>
      <c r="C364" s="47" t="n"/>
      <c r="D364" s="47" t="n"/>
      <c r="E364" s="47" t="n"/>
      <c r="F364" s="47">
        <f>IF(D364="","",IF(OR(ISNUMBER(SEARCH("PARÇA DEĞİŞ",D364)),ISNUMBER(SEARCH("PARCA DEGIS",D364)),ISNUMBER(SEARCH("DEĞİŞECEK",D364)),ISNUMBER(SEARCH("DEGISECEK",D364)),ISNUMBER(SEARCH("DEĞİŞİM",D364)),ISNUMBER(SEARCH("DEGISIM",D364))),"PARÇA DEĞİŞİMİ",""))</f>
        <v/>
      </c>
      <c r="G364" s="47">
        <f>IF(AND(D364&lt;&gt;"",E364&lt;&gt;"",D364&lt;&gt;E364),"GÜNCELLENDİ","")</f>
        <v/>
      </c>
      <c r="H364" s="48" t="n"/>
    </row>
    <row r="365">
      <c r="A365" s="47" t="n"/>
      <c r="B365" s="47" t="n"/>
      <c r="C365" s="47" t="n"/>
      <c r="D365" s="47" t="n"/>
      <c r="E365" s="47" t="n"/>
      <c r="F365" s="47">
        <f>IF(D365="","",IF(OR(ISNUMBER(SEARCH("PARÇA DEĞİŞ",D365)),ISNUMBER(SEARCH("PARCA DEGIS",D365)),ISNUMBER(SEARCH("DEĞİŞECEK",D365)),ISNUMBER(SEARCH("DEGISECEK",D365)),ISNUMBER(SEARCH("DEĞİŞİM",D365)),ISNUMBER(SEARCH("DEGISIM",D365))),"PARÇA DEĞİŞİMİ",""))</f>
        <v/>
      </c>
      <c r="G365" s="47">
        <f>IF(AND(D365&lt;&gt;"",E365&lt;&gt;"",D365&lt;&gt;E365),"GÜNCELLENDİ","")</f>
        <v/>
      </c>
      <c r="H365" s="48" t="n"/>
    </row>
    <row r="366">
      <c r="A366" s="47" t="n"/>
      <c r="B366" s="47" t="n"/>
      <c r="C366" s="47" t="n"/>
      <c r="D366" s="47" t="n"/>
      <c r="E366" s="47" t="n"/>
      <c r="F366" s="47">
        <f>IF(D366="","",IF(OR(ISNUMBER(SEARCH("PARÇA DEĞİŞ",D366)),ISNUMBER(SEARCH("PARCA DEGIS",D366)),ISNUMBER(SEARCH("DEĞİŞECEK",D366)),ISNUMBER(SEARCH("DEGISECEK",D366)),ISNUMBER(SEARCH("DEĞİŞİM",D366)),ISNUMBER(SEARCH("DEGISIM",D366))),"PARÇA DEĞİŞİMİ",""))</f>
        <v/>
      </c>
      <c r="G366" s="47">
        <f>IF(AND(D366&lt;&gt;"",E366&lt;&gt;"",D366&lt;&gt;E366),"GÜNCELLENDİ","")</f>
        <v/>
      </c>
      <c r="H366" s="48" t="n"/>
    </row>
    <row r="367">
      <c r="A367" s="47" t="n"/>
      <c r="B367" s="47" t="n"/>
      <c r="C367" s="47" t="n"/>
      <c r="D367" s="47" t="n"/>
      <c r="E367" s="47" t="n"/>
      <c r="F367" s="47">
        <f>IF(D367="","",IF(OR(ISNUMBER(SEARCH("PARÇA DEĞİŞ",D367)),ISNUMBER(SEARCH("PARCA DEGIS",D367)),ISNUMBER(SEARCH("DEĞİŞECEK",D367)),ISNUMBER(SEARCH("DEGISECEK",D367)),ISNUMBER(SEARCH("DEĞİŞİM",D367)),ISNUMBER(SEARCH("DEGISIM",D367))),"PARÇA DEĞİŞİMİ",""))</f>
        <v/>
      </c>
      <c r="G367" s="47">
        <f>IF(AND(D367&lt;&gt;"",E367&lt;&gt;"",D367&lt;&gt;E367),"GÜNCELLENDİ","")</f>
        <v/>
      </c>
      <c r="H367" s="48" t="n"/>
    </row>
    <row r="368">
      <c r="A368" s="47" t="n"/>
      <c r="B368" s="47" t="n"/>
      <c r="C368" s="47" t="n"/>
      <c r="D368" s="47" t="n"/>
      <c r="E368" s="47" t="n"/>
      <c r="F368" s="47">
        <f>IF(D368="","",IF(OR(ISNUMBER(SEARCH("PARÇA DEĞİŞ",D368)),ISNUMBER(SEARCH("PARCA DEGIS",D368)),ISNUMBER(SEARCH("DEĞİŞECEK",D368)),ISNUMBER(SEARCH("DEGISECEK",D368)),ISNUMBER(SEARCH("DEĞİŞİM",D368)),ISNUMBER(SEARCH("DEGISIM",D368))),"PARÇA DEĞİŞİMİ",""))</f>
        <v/>
      </c>
      <c r="G368" s="47">
        <f>IF(AND(D368&lt;&gt;"",E368&lt;&gt;"",D368&lt;&gt;E368),"GÜNCELLENDİ","")</f>
        <v/>
      </c>
      <c r="H368" s="48" t="n"/>
    </row>
    <row r="369">
      <c r="A369" s="47" t="n"/>
      <c r="B369" s="47" t="n"/>
      <c r="C369" s="47" t="n"/>
      <c r="D369" s="47" t="n"/>
      <c r="E369" s="47" t="n"/>
      <c r="F369" s="47">
        <f>IF(D369="","",IF(OR(ISNUMBER(SEARCH("PARÇA DEĞİŞ",D369)),ISNUMBER(SEARCH("PARCA DEGIS",D369)),ISNUMBER(SEARCH("DEĞİŞECEK",D369)),ISNUMBER(SEARCH("DEGISECEK",D369)),ISNUMBER(SEARCH("DEĞİŞİM",D369)),ISNUMBER(SEARCH("DEGISIM",D369))),"PARÇA DEĞİŞİMİ",""))</f>
        <v/>
      </c>
      <c r="G369" s="47">
        <f>IF(AND(D369&lt;&gt;"",E369&lt;&gt;"",D369&lt;&gt;E369),"GÜNCELLENDİ","")</f>
        <v/>
      </c>
      <c r="H369" s="48" t="n"/>
    </row>
    <row r="370">
      <c r="A370" s="47" t="n"/>
      <c r="B370" s="47" t="n"/>
      <c r="C370" s="47" t="n"/>
      <c r="D370" s="47" t="n"/>
      <c r="E370" s="47" t="n"/>
      <c r="F370" s="47">
        <f>IF(D370="","",IF(OR(ISNUMBER(SEARCH("PARÇA DEĞİŞ",D370)),ISNUMBER(SEARCH("PARCA DEGIS",D370)),ISNUMBER(SEARCH("DEĞİŞECEK",D370)),ISNUMBER(SEARCH("DEGISECEK",D370)),ISNUMBER(SEARCH("DEĞİŞİM",D370)),ISNUMBER(SEARCH("DEGISIM",D370))),"PARÇA DEĞİŞİMİ",""))</f>
        <v/>
      </c>
      <c r="G370" s="47">
        <f>IF(AND(D370&lt;&gt;"",E370&lt;&gt;"",D370&lt;&gt;E370),"GÜNCELLENDİ","")</f>
        <v/>
      </c>
      <c r="H370" s="48" t="n"/>
    </row>
    <row r="371">
      <c r="A371" s="47" t="n"/>
      <c r="B371" s="47" t="n"/>
      <c r="C371" s="47" t="n"/>
      <c r="D371" s="47" t="n"/>
      <c r="E371" s="47" t="n"/>
      <c r="F371" s="47">
        <f>IF(D371="","",IF(OR(ISNUMBER(SEARCH("PARÇA DEĞİŞ",D371)),ISNUMBER(SEARCH("PARCA DEGIS",D371)),ISNUMBER(SEARCH("DEĞİŞECEK",D371)),ISNUMBER(SEARCH("DEGISECEK",D371)),ISNUMBER(SEARCH("DEĞİŞİM",D371)),ISNUMBER(SEARCH("DEGISIM",D371))),"PARÇA DEĞİŞİMİ",""))</f>
        <v/>
      </c>
      <c r="G371" s="47">
        <f>IF(AND(D371&lt;&gt;"",E371&lt;&gt;"",D371&lt;&gt;E371),"GÜNCELLENDİ","")</f>
        <v/>
      </c>
      <c r="H371" s="48" t="n"/>
    </row>
    <row r="372">
      <c r="A372" s="47" t="n"/>
      <c r="B372" s="47" t="n"/>
      <c r="C372" s="47" t="n"/>
      <c r="D372" s="47" t="n"/>
      <c r="E372" s="47" t="n"/>
      <c r="F372" s="47">
        <f>IF(D372="","",IF(OR(ISNUMBER(SEARCH("PARÇA DEĞİŞ",D372)),ISNUMBER(SEARCH("PARCA DEGIS",D372)),ISNUMBER(SEARCH("DEĞİŞECEK",D372)),ISNUMBER(SEARCH("DEGISECEK",D372)),ISNUMBER(SEARCH("DEĞİŞİM",D372)),ISNUMBER(SEARCH("DEGISIM",D372))),"PARÇA DEĞİŞİMİ",""))</f>
        <v/>
      </c>
      <c r="G372" s="47">
        <f>IF(AND(D372&lt;&gt;"",E372&lt;&gt;"",D372&lt;&gt;E372),"GÜNCELLENDİ","")</f>
        <v/>
      </c>
      <c r="H372" s="48" t="n"/>
    </row>
    <row r="373">
      <c r="A373" s="47" t="n"/>
      <c r="B373" s="47" t="n"/>
      <c r="C373" s="47" t="n"/>
      <c r="D373" s="47" t="n"/>
      <c r="E373" s="47" t="n"/>
      <c r="F373" s="47">
        <f>IF(D373="","",IF(OR(ISNUMBER(SEARCH("PARÇA DEĞİŞ",D373)),ISNUMBER(SEARCH("PARCA DEGIS",D373)),ISNUMBER(SEARCH("DEĞİŞECEK",D373)),ISNUMBER(SEARCH("DEGISECEK",D373)),ISNUMBER(SEARCH("DEĞİŞİM",D373)),ISNUMBER(SEARCH("DEGISIM",D373))),"PARÇA DEĞİŞİMİ",""))</f>
        <v/>
      </c>
      <c r="G373" s="47">
        <f>IF(AND(D373&lt;&gt;"",E373&lt;&gt;"",D373&lt;&gt;E373),"GÜNCELLENDİ","")</f>
        <v/>
      </c>
      <c r="H373" s="48" t="n"/>
    </row>
    <row r="374">
      <c r="A374" s="47" t="n"/>
      <c r="B374" s="47" t="n"/>
      <c r="C374" s="47" t="n"/>
      <c r="D374" s="47" t="n"/>
      <c r="E374" s="47" t="n"/>
      <c r="F374" s="47">
        <f>IF(D374="","",IF(OR(ISNUMBER(SEARCH("PARÇA DEĞİŞ",D374)),ISNUMBER(SEARCH("PARCA DEGIS",D374)),ISNUMBER(SEARCH("DEĞİŞECEK",D374)),ISNUMBER(SEARCH("DEGISECEK",D374)),ISNUMBER(SEARCH("DEĞİŞİM",D374)),ISNUMBER(SEARCH("DEGISIM",D374))),"PARÇA DEĞİŞİMİ",""))</f>
        <v/>
      </c>
      <c r="G374" s="47">
        <f>IF(AND(D374&lt;&gt;"",E374&lt;&gt;"",D374&lt;&gt;E374),"GÜNCELLENDİ","")</f>
        <v/>
      </c>
      <c r="H374" s="48" t="n"/>
    </row>
    <row r="375">
      <c r="A375" s="47" t="n"/>
      <c r="B375" s="47" t="n"/>
      <c r="C375" s="47" t="n"/>
      <c r="D375" s="47" t="n"/>
      <c r="E375" s="47" t="n"/>
      <c r="F375" s="47">
        <f>IF(D375="","",IF(OR(ISNUMBER(SEARCH("PARÇA DEĞİŞ",D375)),ISNUMBER(SEARCH("PARCA DEGIS",D375)),ISNUMBER(SEARCH("DEĞİŞECEK",D375)),ISNUMBER(SEARCH("DEGISECEK",D375)),ISNUMBER(SEARCH("DEĞİŞİM",D375)),ISNUMBER(SEARCH("DEGISIM",D375))),"PARÇA DEĞİŞİMİ",""))</f>
        <v/>
      </c>
      <c r="G375" s="47">
        <f>IF(AND(D375&lt;&gt;"",E375&lt;&gt;"",D375&lt;&gt;E375),"GÜNCELLENDİ","")</f>
        <v/>
      </c>
      <c r="H375" s="48" t="n"/>
    </row>
    <row r="376">
      <c r="A376" s="47" t="n"/>
      <c r="B376" s="47" t="n"/>
      <c r="C376" s="47" t="n"/>
      <c r="D376" s="47" t="n"/>
      <c r="E376" s="47" t="n"/>
      <c r="F376" s="47">
        <f>IF(D376="","",IF(OR(ISNUMBER(SEARCH("PARÇA DEĞİŞ",D376)),ISNUMBER(SEARCH("PARCA DEGIS",D376)),ISNUMBER(SEARCH("DEĞİŞECEK",D376)),ISNUMBER(SEARCH("DEGISECEK",D376)),ISNUMBER(SEARCH("DEĞİŞİM",D376)),ISNUMBER(SEARCH("DEGISIM",D376))),"PARÇA DEĞİŞİMİ",""))</f>
        <v/>
      </c>
      <c r="G376" s="47">
        <f>IF(AND(D376&lt;&gt;"",E376&lt;&gt;"",D376&lt;&gt;E376),"GÜNCELLENDİ","")</f>
        <v/>
      </c>
      <c r="H376" s="48" t="n"/>
    </row>
    <row r="377">
      <c r="A377" s="47" t="n"/>
      <c r="B377" s="47" t="n"/>
      <c r="C377" s="47" t="n"/>
      <c r="D377" s="47" t="n"/>
      <c r="E377" s="47" t="n"/>
      <c r="F377" s="47">
        <f>IF(D377="","",IF(OR(ISNUMBER(SEARCH("PARÇA DEĞİŞ",D377)),ISNUMBER(SEARCH("PARCA DEGIS",D377)),ISNUMBER(SEARCH("DEĞİŞECEK",D377)),ISNUMBER(SEARCH("DEGISECEK",D377)),ISNUMBER(SEARCH("DEĞİŞİM",D377)),ISNUMBER(SEARCH("DEGISIM",D377))),"PARÇA DEĞİŞİMİ",""))</f>
        <v/>
      </c>
      <c r="G377" s="47">
        <f>IF(AND(D377&lt;&gt;"",E377&lt;&gt;"",D377&lt;&gt;E377),"GÜNCELLENDİ","")</f>
        <v/>
      </c>
      <c r="H377" s="48" t="n"/>
    </row>
    <row r="378">
      <c r="A378" s="47" t="n"/>
      <c r="B378" s="47" t="n"/>
      <c r="C378" s="47" t="n"/>
      <c r="D378" s="47" t="n"/>
      <c r="E378" s="47" t="n"/>
      <c r="F378" s="47">
        <f>IF(D378="","",IF(OR(ISNUMBER(SEARCH("PARÇA DEĞİŞ",D378)),ISNUMBER(SEARCH("PARCA DEGIS",D378)),ISNUMBER(SEARCH("DEĞİŞECEK",D378)),ISNUMBER(SEARCH("DEGISECEK",D378)),ISNUMBER(SEARCH("DEĞİŞİM",D378)),ISNUMBER(SEARCH("DEGISIM",D378))),"PARÇA DEĞİŞİMİ",""))</f>
        <v/>
      </c>
      <c r="G378" s="47">
        <f>IF(AND(D378&lt;&gt;"",E378&lt;&gt;"",D378&lt;&gt;E378),"GÜNCELLENDİ","")</f>
        <v/>
      </c>
      <c r="H378" s="48" t="n"/>
    </row>
    <row r="379">
      <c r="A379" s="47" t="n"/>
      <c r="B379" s="47" t="n"/>
      <c r="C379" s="47" t="n"/>
      <c r="D379" s="47" t="n"/>
      <c r="E379" s="47" t="n"/>
      <c r="F379" s="47">
        <f>IF(D379="","",IF(OR(ISNUMBER(SEARCH("PARÇA DEĞİŞ",D379)),ISNUMBER(SEARCH("PARCA DEGIS",D379)),ISNUMBER(SEARCH("DEĞİŞECEK",D379)),ISNUMBER(SEARCH("DEGISECEK",D379)),ISNUMBER(SEARCH("DEĞİŞİM",D379)),ISNUMBER(SEARCH("DEGISIM",D379))),"PARÇA DEĞİŞİMİ",""))</f>
        <v/>
      </c>
      <c r="G379" s="47">
        <f>IF(AND(D379&lt;&gt;"",E379&lt;&gt;"",D379&lt;&gt;E379),"GÜNCELLENDİ","")</f>
        <v/>
      </c>
      <c r="H379" s="48" t="n"/>
    </row>
    <row r="380">
      <c r="A380" s="47" t="n"/>
      <c r="B380" s="47" t="n"/>
      <c r="C380" s="47" t="n"/>
      <c r="D380" s="47" t="n"/>
      <c r="E380" s="47" t="n"/>
      <c r="F380" s="47">
        <f>IF(D380="","",IF(OR(ISNUMBER(SEARCH("PARÇA DEĞİŞ",D380)),ISNUMBER(SEARCH("PARCA DEGIS",D380)),ISNUMBER(SEARCH("DEĞİŞECEK",D380)),ISNUMBER(SEARCH("DEGISECEK",D380)),ISNUMBER(SEARCH("DEĞİŞİM",D380)),ISNUMBER(SEARCH("DEGISIM",D380))),"PARÇA DEĞİŞİMİ",""))</f>
        <v/>
      </c>
      <c r="G380" s="47">
        <f>IF(AND(D380&lt;&gt;"",E380&lt;&gt;"",D380&lt;&gt;E380),"GÜNCELLENDİ","")</f>
        <v/>
      </c>
      <c r="H380" s="48" t="n"/>
    </row>
    <row r="381">
      <c r="A381" s="47" t="n"/>
      <c r="B381" s="47" t="n"/>
      <c r="C381" s="47" t="n"/>
      <c r="D381" s="47" t="n"/>
      <c r="E381" s="47" t="n"/>
      <c r="F381" s="47">
        <f>IF(D381="","",IF(OR(ISNUMBER(SEARCH("PARÇA DEĞİŞ",D381)),ISNUMBER(SEARCH("PARCA DEGIS",D381)),ISNUMBER(SEARCH("DEĞİŞECEK",D381)),ISNUMBER(SEARCH("DEGISECEK",D381)),ISNUMBER(SEARCH("DEĞİŞİM",D381)),ISNUMBER(SEARCH("DEGISIM",D381))),"PARÇA DEĞİŞİMİ",""))</f>
        <v/>
      </c>
      <c r="G381" s="47">
        <f>IF(AND(D381&lt;&gt;"",E381&lt;&gt;"",D381&lt;&gt;E381),"GÜNCELLENDİ","")</f>
        <v/>
      </c>
      <c r="H381" s="48" t="n"/>
    </row>
    <row r="382">
      <c r="A382" s="47" t="n"/>
      <c r="B382" s="47" t="n"/>
      <c r="C382" s="47" t="n"/>
      <c r="D382" s="47" t="n"/>
      <c r="E382" s="47" t="n"/>
      <c r="F382" s="47">
        <f>IF(D382="","",IF(OR(ISNUMBER(SEARCH("PARÇA DEĞİŞ",D382)),ISNUMBER(SEARCH("PARCA DEGIS",D382)),ISNUMBER(SEARCH("DEĞİŞECEK",D382)),ISNUMBER(SEARCH("DEGISECEK",D382)),ISNUMBER(SEARCH("DEĞİŞİM",D382)),ISNUMBER(SEARCH("DEGISIM",D382))),"PARÇA DEĞİŞİMİ",""))</f>
        <v/>
      </c>
      <c r="G382" s="47">
        <f>IF(AND(D382&lt;&gt;"",E382&lt;&gt;"",D382&lt;&gt;E382),"GÜNCELLENDİ","")</f>
        <v/>
      </c>
      <c r="H382" s="48" t="n"/>
    </row>
    <row r="383">
      <c r="A383" s="47" t="n"/>
      <c r="B383" s="47" t="n"/>
      <c r="C383" s="47" t="n"/>
      <c r="D383" s="47" t="n"/>
      <c r="E383" s="47" t="n"/>
      <c r="F383" s="47">
        <f>IF(D383="","",IF(OR(ISNUMBER(SEARCH("PARÇA DEĞİŞ",D383)),ISNUMBER(SEARCH("PARCA DEGIS",D383)),ISNUMBER(SEARCH("DEĞİŞECEK",D383)),ISNUMBER(SEARCH("DEGISECEK",D383)),ISNUMBER(SEARCH("DEĞİŞİM",D383)),ISNUMBER(SEARCH("DEGISIM",D383))),"PARÇA DEĞİŞİMİ",""))</f>
        <v/>
      </c>
      <c r="G383" s="47">
        <f>IF(AND(D383&lt;&gt;"",E383&lt;&gt;"",D383&lt;&gt;E383),"GÜNCELLENDİ","")</f>
        <v/>
      </c>
      <c r="H383" s="48" t="n"/>
    </row>
    <row r="384">
      <c r="A384" s="47" t="n"/>
      <c r="B384" s="47" t="n"/>
      <c r="C384" s="47" t="n"/>
      <c r="D384" s="47" t="n"/>
      <c r="E384" s="47" t="n"/>
      <c r="F384" s="47">
        <f>IF(D384="","",IF(OR(ISNUMBER(SEARCH("PARÇA DEĞİŞ",D384)),ISNUMBER(SEARCH("PARCA DEGIS",D384)),ISNUMBER(SEARCH("DEĞİŞECEK",D384)),ISNUMBER(SEARCH("DEGISECEK",D384)),ISNUMBER(SEARCH("DEĞİŞİM",D384)),ISNUMBER(SEARCH("DEGISIM",D384))),"PARÇA DEĞİŞİMİ",""))</f>
        <v/>
      </c>
      <c r="G384" s="47">
        <f>IF(AND(D384&lt;&gt;"",E384&lt;&gt;"",D384&lt;&gt;E384),"GÜNCELLENDİ","")</f>
        <v/>
      </c>
      <c r="H384" s="48" t="n"/>
    </row>
    <row r="385">
      <c r="A385" s="47" t="n"/>
      <c r="B385" s="47" t="n"/>
      <c r="C385" s="47" t="n"/>
      <c r="D385" s="47" t="n"/>
      <c r="E385" s="47" t="n"/>
      <c r="F385" s="47">
        <f>IF(D385="","",IF(OR(ISNUMBER(SEARCH("PARÇA DEĞİŞ",D385)),ISNUMBER(SEARCH("PARCA DEGIS",D385)),ISNUMBER(SEARCH("DEĞİŞECEK",D385)),ISNUMBER(SEARCH("DEGISECEK",D385)),ISNUMBER(SEARCH("DEĞİŞİM",D385)),ISNUMBER(SEARCH("DEGISIM",D385))),"PARÇA DEĞİŞİMİ",""))</f>
        <v/>
      </c>
      <c r="G385" s="47">
        <f>IF(AND(D385&lt;&gt;"",E385&lt;&gt;"",D385&lt;&gt;E385),"GÜNCELLENDİ","")</f>
        <v/>
      </c>
      <c r="H385" s="48" t="n"/>
    </row>
    <row r="386">
      <c r="A386" s="47" t="n"/>
      <c r="B386" s="47" t="n"/>
      <c r="C386" s="47" t="n"/>
      <c r="D386" s="47" t="n"/>
      <c r="E386" s="47" t="n"/>
      <c r="F386" s="47">
        <f>IF(D386="","",IF(OR(ISNUMBER(SEARCH("PARÇA DEĞİŞ",D386)),ISNUMBER(SEARCH("PARCA DEGIS",D386)),ISNUMBER(SEARCH("DEĞİŞECEK",D386)),ISNUMBER(SEARCH("DEGISECEK",D386)),ISNUMBER(SEARCH("DEĞİŞİM",D386)),ISNUMBER(SEARCH("DEGISIM",D386))),"PARÇA DEĞİŞİMİ",""))</f>
        <v/>
      </c>
      <c r="G386" s="47">
        <f>IF(AND(D386&lt;&gt;"",E386&lt;&gt;"",D386&lt;&gt;E386),"GÜNCELLENDİ","")</f>
        <v/>
      </c>
      <c r="H386" s="48" t="n"/>
    </row>
    <row r="387">
      <c r="A387" s="47" t="n"/>
      <c r="B387" s="47" t="n"/>
      <c r="C387" s="47" t="n"/>
      <c r="D387" s="47" t="n"/>
      <c r="E387" s="47" t="n"/>
      <c r="F387" s="47">
        <f>IF(D387="","",IF(OR(ISNUMBER(SEARCH("PARÇA DEĞİŞ",D387)),ISNUMBER(SEARCH("PARCA DEGIS",D387)),ISNUMBER(SEARCH("DEĞİŞECEK",D387)),ISNUMBER(SEARCH("DEGISECEK",D387)),ISNUMBER(SEARCH("DEĞİŞİM",D387)),ISNUMBER(SEARCH("DEGISIM",D387))),"PARÇA DEĞİŞİMİ",""))</f>
        <v/>
      </c>
      <c r="G387" s="47">
        <f>IF(AND(D387&lt;&gt;"",E387&lt;&gt;"",D387&lt;&gt;E387),"GÜNCELLENDİ","")</f>
        <v/>
      </c>
      <c r="H387" s="48" t="n"/>
    </row>
    <row r="388">
      <c r="A388" s="47" t="n"/>
      <c r="B388" s="47" t="n"/>
      <c r="C388" s="47" t="n"/>
      <c r="D388" s="47" t="n"/>
      <c r="E388" s="47" t="n"/>
      <c r="F388" s="47">
        <f>IF(D388="","",IF(OR(ISNUMBER(SEARCH("PARÇA DEĞİŞ",D388)),ISNUMBER(SEARCH("PARCA DEGIS",D388)),ISNUMBER(SEARCH("DEĞİŞECEK",D388)),ISNUMBER(SEARCH("DEGISECEK",D388)),ISNUMBER(SEARCH("DEĞİŞİM",D388)),ISNUMBER(SEARCH("DEGISIM",D388))),"PARÇA DEĞİŞİMİ",""))</f>
        <v/>
      </c>
      <c r="G388" s="47">
        <f>IF(AND(D388&lt;&gt;"",E388&lt;&gt;"",D388&lt;&gt;E388),"GÜNCELLENDİ","")</f>
        <v/>
      </c>
      <c r="H388" s="48" t="n"/>
    </row>
    <row r="389">
      <c r="A389" s="47" t="n"/>
      <c r="B389" s="47" t="n"/>
      <c r="C389" s="47" t="n"/>
      <c r="D389" s="47" t="n"/>
      <c r="E389" s="47" t="n"/>
      <c r="F389" s="47">
        <f>IF(D389="","",IF(OR(ISNUMBER(SEARCH("PARÇA DEĞİŞ",D389)),ISNUMBER(SEARCH("PARCA DEGIS",D389)),ISNUMBER(SEARCH("DEĞİŞECEK",D389)),ISNUMBER(SEARCH("DEGISECEK",D389)),ISNUMBER(SEARCH("DEĞİŞİM",D389)),ISNUMBER(SEARCH("DEGISIM",D389))),"PARÇA DEĞİŞİMİ",""))</f>
        <v/>
      </c>
      <c r="G389" s="47">
        <f>IF(AND(D389&lt;&gt;"",E389&lt;&gt;"",D389&lt;&gt;E389),"GÜNCELLENDİ","")</f>
        <v/>
      </c>
      <c r="H389" s="48" t="n"/>
    </row>
    <row r="390">
      <c r="A390" s="47" t="n"/>
      <c r="B390" s="47" t="n"/>
      <c r="C390" s="47" t="n"/>
      <c r="D390" s="47" t="n"/>
      <c r="E390" s="47" t="n"/>
      <c r="F390" s="47">
        <f>IF(D390="","",IF(OR(ISNUMBER(SEARCH("PARÇA DEĞİŞ",D390)),ISNUMBER(SEARCH("PARCA DEGIS",D390)),ISNUMBER(SEARCH("DEĞİŞECEK",D390)),ISNUMBER(SEARCH("DEGISECEK",D390)),ISNUMBER(SEARCH("DEĞİŞİM",D390)),ISNUMBER(SEARCH("DEGISIM",D390))),"PARÇA DEĞİŞİMİ",""))</f>
        <v/>
      </c>
      <c r="G390" s="47">
        <f>IF(AND(D390&lt;&gt;"",E390&lt;&gt;"",D390&lt;&gt;E390),"GÜNCELLENDİ","")</f>
        <v/>
      </c>
      <c r="H390" s="48" t="n"/>
    </row>
    <row r="391">
      <c r="A391" s="47" t="n"/>
      <c r="B391" s="47" t="n"/>
      <c r="C391" s="47" t="n"/>
      <c r="D391" s="47" t="n"/>
      <c r="E391" s="47" t="n"/>
      <c r="F391" s="47">
        <f>IF(D391="","",IF(OR(ISNUMBER(SEARCH("PARÇA DEĞİŞ",D391)),ISNUMBER(SEARCH("PARCA DEGIS",D391)),ISNUMBER(SEARCH("DEĞİŞECEK",D391)),ISNUMBER(SEARCH("DEGISECEK",D391)),ISNUMBER(SEARCH("DEĞİŞİM",D391)),ISNUMBER(SEARCH("DEGISIM",D391))),"PARÇA DEĞİŞİMİ",""))</f>
        <v/>
      </c>
      <c r="G391" s="47">
        <f>IF(AND(D391&lt;&gt;"",E391&lt;&gt;"",D391&lt;&gt;E391),"GÜNCELLENDİ","")</f>
        <v/>
      </c>
      <c r="H391" s="48" t="n"/>
    </row>
    <row r="392">
      <c r="A392" s="47" t="n"/>
      <c r="B392" s="47" t="n"/>
      <c r="C392" s="47" t="n"/>
      <c r="D392" s="47" t="n"/>
      <c r="E392" s="47" t="n"/>
      <c r="F392" s="47">
        <f>IF(D392="","",IF(OR(ISNUMBER(SEARCH("PARÇA DEĞİŞ",D392)),ISNUMBER(SEARCH("PARCA DEGIS",D392)),ISNUMBER(SEARCH("DEĞİŞECEK",D392)),ISNUMBER(SEARCH("DEGISECEK",D392)),ISNUMBER(SEARCH("DEĞİŞİM",D392)),ISNUMBER(SEARCH("DEGISIM",D392))),"PARÇA DEĞİŞİMİ",""))</f>
        <v/>
      </c>
      <c r="G392" s="47">
        <f>IF(AND(D392&lt;&gt;"",E392&lt;&gt;"",D392&lt;&gt;E392),"GÜNCELLENDİ","")</f>
        <v/>
      </c>
      <c r="H392" s="48" t="n"/>
    </row>
    <row r="393">
      <c r="A393" s="47" t="n"/>
      <c r="B393" s="47" t="n"/>
      <c r="C393" s="47" t="n"/>
      <c r="D393" s="47" t="n"/>
      <c r="E393" s="47" t="n"/>
      <c r="F393" s="47">
        <f>IF(D393="","",IF(OR(ISNUMBER(SEARCH("PARÇA DEĞİŞ",D393)),ISNUMBER(SEARCH("PARCA DEGIS",D393)),ISNUMBER(SEARCH("DEĞİŞECEK",D393)),ISNUMBER(SEARCH("DEGISECEK",D393)),ISNUMBER(SEARCH("DEĞİŞİM",D393)),ISNUMBER(SEARCH("DEGISIM",D393))),"PARÇA DEĞİŞİMİ",""))</f>
        <v/>
      </c>
      <c r="G393" s="47">
        <f>IF(AND(D393&lt;&gt;"",E393&lt;&gt;"",D393&lt;&gt;E393),"GÜNCELLENDİ","")</f>
        <v/>
      </c>
      <c r="H393" s="48" t="n"/>
    </row>
    <row r="394">
      <c r="A394" s="47" t="n"/>
      <c r="B394" s="47" t="n"/>
      <c r="C394" s="47" t="n"/>
      <c r="D394" s="47" t="n"/>
      <c r="E394" s="47" t="n"/>
      <c r="F394" s="47">
        <f>IF(D394="","",IF(OR(ISNUMBER(SEARCH("PARÇA DEĞİŞ",D394)),ISNUMBER(SEARCH("PARCA DEGIS",D394)),ISNUMBER(SEARCH("DEĞİŞECEK",D394)),ISNUMBER(SEARCH("DEGISECEK",D394)),ISNUMBER(SEARCH("DEĞİŞİM",D394)),ISNUMBER(SEARCH("DEGISIM",D394))),"PARÇA DEĞİŞİMİ",""))</f>
        <v/>
      </c>
      <c r="G394" s="47">
        <f>IF(AND(D394&lt;&gt;"",E394&lt;&gt;"",D394&lt;&gt;E394),"GÜNCELLENDİ","")</f>
        <v/>
      </c>
      <c r="H394" s="48" t="n"/>
    </row>
    <row r="395">
      <c r="A395" s="47" t="n"/>
      <c r="B395" s="47" t="n"/>
      <c r="C395" s="47" t="n"/>
      <c r="D395" s="47" t="n"/>
      <c r="E395" s="47" t="n"/>
      <c r="F395" s="47">
        <f>IF(D395="","",IF(OR(ISNUMBER(SEARCH("PARÇA DEĞİŞ",D395)),ISNUMBER(SEARCH("PARCA DEGIS",D395)),ISNUMBER(SEARCH("DEĞİŞECEK",D395)),ISNUMBER(SEARCH("DEGISECEK",D395)),ISNUMBER(SEARCH("DEĞİŞİM",D395)),ISNUMBER(SEARCH("DEGISIM",D395))),"PARÇA DEĞİŞİMİ",""))</f>
        <v/>
      </c>
      <c r="G395" s="47">
        <f>IF(AND(D395&lt;&gt;"",E395&lt;&gt;"",D395&lt;&gt;E395),"GÜNCELLENDİ","")</f>
        <v/>
      </c>
      <c r="H395" s="48" t="n"/>
    </row>
    <row r="396">
      <c r="A396" s="47" t="n"/>
      <c r="B396" s="47" t="n"/>
      <c r="C396" s="47" t="n"/>
      <c r="D396" s="47" t="n"/>
      <c r="E396" s="47" t="n"/>
      <c r="F396" s="47">
        <f>IF(D396="","",IF(OR(ISNUMBER(SEARCH("PARÇA DEĞİŞ",D396)),ISNUMBER(SEARCH("PARCA DEGIS",D396)),ISNUMBER(SEARCH("DEĞİŞECEK",D396)),ISNUMBER(SEARCH("DEGISECEK",D396)),ISNUMBER(SEARCH("DEĞİŞİM",D396)),ISNUMBER(SEARCH("DEGISIM",D396))),"PARÇA DEĞİŞİMİ",""))</f>
        <v/>
      </c>
      <c r="G396" s="47">
        <f>IF(AND(D396&lt;&gt;"",E396&lt;&gt;"",D396&lt;&gt;E396),"GÜNCELLENDİ","")</f>
        <v/>
      </c>
      <c r="H396" s="48" t="n"/>
    </row>
    <row r="397">
      <c r="A397" s="47" t="n"/>
      <c r="B397" s="47" t="n"/>
      <c r="C397" s="47" t="n"/>
      <c r="D397" s="47" t="n"/>
      <c r="E397" s="47" t="n"/>
      <c r="F397" s="47">
        <f>IF(D397="","",IF(OR(ISNUMBER(SEARCH("PARÇA DEĞİŞ",D397)),ISNUMBER(SEARCH("PARCA DEGIS",D397)),ISNUMBER(SEARCH("DEĞİŞECEK",D397)),ISNUMBER(SEARCH("DEGISECEK",D397)),ISNUMBER(SEARCH("DEĞİŞİM",D397)),ISNUMBER(SEARCH("DEGISIM",D397))),"PARÇA DEĞİŞİMİ",""))</f>
        <v/>
      </c>
      <c r="G397" s="47">
        <f>IF(AND(D397&lt;&gt;"",E397&lt;&gt;"",D397&lt;&gt;E397),"GÜNCELLENDİ","")</f>
        <v/>
      </c>
      <c r="H397" s="48" t="n"/>
    </row>
    <row r="398">
      <c r="A398" s="47" t="n"/>
      <c r="B398" s="47" t="n"/>
      <c r="C398" s="47" t="n"/>
      <c r="D398" s="47" t="n"/>
      <c r="E398" s="47" t="n"/>
      <c r="F398" s="47">
        <f>IF(D398="","",IF(OR(ISNUMBER(SEARCH("PARÇA DEĞİŞ",D398)),ISNUMBER(SEARCH("PARCA DEGIS",D398)),ISNUMBER(SEARCH("DEĞİŞECEK",D398)),ISNUMBER(SEARCH("DEGISECEK",D398)),ISNUMBER(SEARCH("DEĞİŞİM",D398)),ISNUMBER(SEARCH("DEGISIM",D398))),"PARÇA DEĞİŞİMİ",""))</f>
        <v/>
      </c>
      <c r="G398" s="47">
        <f>IF(AND(D398&lt;&gt;"",E398&lt;&gt;"",D398&lt;&gt;E398),"GÜNCELLENDİ","")</f>
        <v/>
      </c>
      <c r="H398" s="48" t="n"/>
    </row>
    <row r="399">
      <c r="A399" s="47" t="n"/>
      <c r="B399" s="47" t="n"/>
      <c r="C399" s="47" t="n"/>
      <c r="D399" s="47" t="n"/>
      <c r="E399" s="47" t="n"/>
      <c r="F399" s="47">
        <f>IF(D399="","",IF(OR(ISNUMBER(SEARCH("PARÇA DEĞİŞ",D399)),ISNUMBER(SEARCH("PARCA DEGIS",D399)),ISNUMBER(SEARCH("DEĞİŞECEK",D399)),ISNUMBER(SEARCH("DEGISECEK",D399)),ISNUMBER(SEARCH("DEĞİŞİM",D399)),ISNUMBER(SEARCH("DEGISIM",D399))),"PARÇA DEĞİŞİMİ",""))</f>
        <v/>
      </c>
      <c r="G399" s="47">
        <f>IF(AND(D399&lt;&gt;"",E399&lt;&gt;"",D399&lt;&gt;E399),"GÜNCELLENDİ","")</f>
        <v/>
      </c>
      <c r="H399" s="48" t="n"/>
    </row>
    <row r="400">
      <c r="A400" s="47" t="n"/>
      <c r="B400" s="47" t="n"/>
      <c r="C400" s="47" t="n"/>
      <c r="D400" s="47" t="n"/>
      <c r="E400" s="47" t="n"/>
      <c r="F400" s="47">
        <f>IF(D400="","",IF(OR(ISNUMBER(SEARCH("PARÇA DEĞİŞ",D400)),ISNUMBER(SEARCH("PARCA DEGIS",D400)),ISNUMBER(SEARCH("DEĞİŞECEK",D400)),ISNUMBER(SEARCH("DEGISECEK",D400)),ISNUMBER(SEARCH("DEĞİŞİM",D400)),ISNUMBER(SEARCH("DEGISIM",D400))),"PARÇA DEĞİŞİMİ",""))</f>
        <v/>
      </c>
      <c r="G400" s="47">
        <f>IF(AND(D400&lt;&gt;"",E400&lt;&gt;"",D400&lt;&gt;E400),"GÜNCELLENDİ","")</f>
        <v/>
      </c>
      <c r="H400" s="48" t="n"/>
    </row>
    <row r="401">
      <c r="A401" s="47" t="n"/>
      <c r="B401" s="47" t="n"/>
      <c r="C401" s="47" t="n"/>
      <c r="D401" s="47" t="n"/>
      <c r="E401" s="47" t="n"/>
      <c r="F401" s="47">
        <f>IF(D401="","",IF(OR(ISNUMBER(SEARCH("PARÇA DEĞİŞ",D401)),ISNUMBER(SEARCH("PARCA DEGIS",D401)),ISNUMBER(SEARCH("DEĞİŞECEK",D401)),ISNUMBER(SEARCH("DEGISECEK",D401)),ISNUMBER(SEARCH("DEĞİŞİM",D401)),ISNUMBER(SEARCH("DEGISIM",D401))),"PARÇA DEĞİŞİMİ",""))</f>
        <v/>
      </c>
      <c r="G401" s="47">
        <f>IF(AND(D401&lt;&gt;"",E401&lt;&gt;"",D401&lt;&gt;E401),"GÜNCELLENDİ","")</f>
        <v/>
      </c>
      <c r="H401" s="48" t="n"/>
    </row>
    <row r="402">
      <c r="A402" s="47" t="n"/>
      <c r="B402" s="47" t="n"/>
      <c r="C402" s="47" t="n"/>
      <c r="D402" s="47" t="n"/>
      <c r="E402" s="47" t="n"/>
      <c r="F402" s="47">
        <f>IF(D402="","",IF(OR(ISNUMBER(SEARCH("PARÇA DEĞİŞ",D402)),ISNUMBER(SEARCH("PARCA DEGIS",D402)),ISNUMBER(SEARCH("DEĞİŞECEK",D402)),ISNUMBER(SEARCH("DEGISECEK",D402)),ISNUMBER(SEARCH("DEĞİŞİM",D402)),ISNUMBER(SEARCH("DEGISIM",D402))),"PARÇA DEĞİŞİMİ",""))</f>
        <v/>
      </c>
      <c r="G402" s="47">
        <f>IF(AND(D402&lt;&gt;"",E402&lt;&gt;"",D402&lt;&gt;E402),"GÜNCELLENDİ","")</f>
        <v/>
      </c>
      <c r="H402" s="48" t="n"/>
    </row>
    <row r="403">
      <c r="A403" s="47" t="n"/>
      <c r="B403" s="47" t="n"/>
      <c r="C403" s="47" t="n"/>
      <c r="D403" s="47" t="n"/>
      <c r="E403" s="47" t="n"/>
      <c r="F403" s="47">
        <f>IF(D403="","",IF(OR(ISNUMBER(SEARCH("PARÇA DEĞİŞ",D403)),ISNUMBER(SEARCH("PARCA DEGIS",D403)),ISNUMBER(SEARCH("DEĞİŞECEK",D403)),ISNUMBER(SEARCH("DEGISECEK",D403)),ISNUMBER(SEARCH("DEĞİŞİM",D403)),ISNUMBER(SEARCH("DEGISIM",D403))),"PARÇA DEĞİŞİMİ",""))</f>
        <v/>
      </c>
      <c r="G403" s="47">
        <f>IF(AND(D403&lt;&gt;"",E403&lt;&gt;"",D403&lt;&gt;E403),"GÜNCELLENDİ","")</f>
        <v/>
      </c>
      <c r="H403" s="48" t="n"/>
    </row>
    <row r="404">
      <c r="A404" s="47" t="n"/>
      <c r="B404" s="47" t="n"/>
      <c r="C404" s="47" t="n"/>
      <c r="D404" s="47" t="n"/>
      <c r="E404" s="47" t="n"/>
      <c r="F404" s="47">
        <f>IF(D404="","",IF(OR(ISNUMBER(SEARCH("PARÇA DEĞİŞ",D404)),ISNUMBER(SEARCH("PARCA DEGIS",D404)),ISNUMBER(SEARCH("DEĞİŞECEK",D404)),ISNUMBER(SEARCH("DEGISECEK",D404)),ISNUMBER(SEARCH("DEĞİŞİM",D404)),ISNUMBER(SEARCH("DEGISIM",D404))),"PARÇA DEĞİŞİMİ",""))</f>
        <v/>
      </c>
      <c r="G404" s="47">
        <f>IF(AND(D404&lt;&gt;"",E404&lt;&gt;"",D404&lt;&gt;E404),"GÜNCELLENDİ","")</f>
        <v/>
      </c>
      <c r="H404" s="48" t="n"/>
    </row>
    <row r="405">
      <c r="A405" s="47" t="n"/>
      <c r="B405" s="47" t="n"/>
      <c r="C405" s="47" t="n"/>
      <c r="D405" s="47" t="n"/>
      <c r="E405" s="47" t="n"/>
      <c r="F405" s="47">
        <f>IF(D405="","",IF(OR(ISNUMBER(SEARCH("PARÇA DEĞİŞ",D405)),ISNUMBER(SEARCH("PARCA DEGIS",D405)),ISNUMBER(SEARCH("DEĞİŞECEK",D405)),ISNUMBER(SEARCH("DEGISECEK",D405)),ISNUMBER(SEARCH("DEĞİŞİM",D405)),ISNUMBER(SEARCH("DEGISIM",D405))),"PARÇA DEĞİŞİMİ",""))</f>
        <v/>
      </c>
      <c r="G405" s="47">
        <f>IF(AND(D405&lt;&gt;"",E405&lt;&gt;"",D405&lt;&gt;E405),"GÜNCELLENDİ","")</f>
        <v/>
      </c>
      <c r="H405" s="48" t="n"/>
    </row>
    <row r="406">
      <c r="A406" s="47" t="n"/>
      <c r="B406" s="47" t="n"/>
      <c r="C406" s="47" t="n"/>
      <c r="D406" s="47" t="n"/>
      <c r="E406" s="47" t="n"/>
      <c r="F406" s="47">
        <f>IF(D406="","",IF(OR(ISNUMBER(SEARCH("PARÇA DEĞİŞ",D406)),ISNUMBER(SEARCH("PARCA DEGIS",D406)),ISNUMBER(SEARCH("DEĞİŞECEK",D406)),ISNUMBER(SEARCH("DEGISECEK",D406)),ISNUMBER(SEARCH("DEĞİŞİM",D406)),ISNUMBER(SEARCH("DEGISIM",D406))),"PARÇA DEĞİŞİMİ",""))</f>
        <v/>
      </c>
      <c r="G406" s="47">
        <f>IF(AND(D406&lt;&gt;"",E406&lt;&gt;"",D406&lt;&gt;E406),"GÜNCELLENDİ","")</f>
        <v/>
      </c>
      <c r="H406" s="48" t="n"/>
    </row>
    <row r="407">
      <c r="A407" s="47" t="n"/>
      <c r="B407" s="47" t="n"/>
      <c r="C407" s="47" t="n"/>
      <c r="D407" s="47" t="n"/>
      <c r="E407" s="47" t="n"/>
      <c r="F407" s="47">
        <f>IF(D407="","",IF(OR(ISNUMBER(SEARCH("PARÇA DEĞİŞ",D407)),ISNUMBER(SEARCH("PARCA DEGIS",D407)),ISNUMBER(SEARCH("DEĞİŞECEK",D407)),ISNUMBER(SEARCH("DEGISECEK",D407)),ISNUMBER(SEARCH("DEĞİŞİM",D407)),ISNUMBER(SEARCH("DEGISIM",D407))),"PARÇA DEĞİŞİMİ",""))</f>
        <v/>
      </c>
      <c r="G407" s="47">
        <f>IF(AND(D407&lt;&gt;"",E407&lt;&gt;"",D407&lt;&gt;E407),"GÜNCELLENDİ","")</f>
        <v/>
      </c>
      <c r="H407" s="48" t="n"/>
    </row>
    <row r="408">
      <c r="A408" s="47" t="n"/>
      <c r="B408" s="47" t="n"/>
      <c r="C408" s="47" t="n"/>
      <c r="D408" s="47" t="n"/>
      <c r="E408" s="47" t="n"/>
      <c r="F408" s="47">
        <f>IF(D408="","",IF(OR(ISNUMBER(SEARCH("PARÇA DEĞİŞ",D408)),ISNUMBER(SEARCH("PARCA DEGIS",D408)),ISNUMBER(SEARCH("DEĞİŞECEK",D408)),ISNUMBER(SEARCH("DEGISECEK",D408)),ISNUMBER(SEARCH("DEĞİŞİM",D408)),ISNUMBER(SEARCH("DEGISIM",D408))),"PARÇA DEĞİŞİMİ",""))</f>
        <v/>
      </c>
      <c r="G408" s="47">
        <f>IF(AND(D408&lt;&gt;"",E408&lt;&gt;"",D408&lt;&gt;E408),"GÜNCELLENDİ","")</f>
        <v/>
      </c>
      <c r="H408" s="48" t="n"/>
    </row>
    <row r="409">
      <c r="A409" s="47" t="n"/>
      <c r="B409" s="47" t="n"/>
      <c r="C409" s="47" t="n"/>
      <c r="D409" s="47" t="n"/>
      <c r="E409" s="47" t="n"/>
      <c r="F409" s="47">
        <f>IF(D409="","",IF(OR(ISNUMBER(SEARCH("PARÇA DEĞİŞ",D409)),ISNUMBER(SEARCH("PARCA DEGIS",D409)),ISNUMBER(SEARCH("DEĞİŞECEK",D409)),ISNUMBER(SEARCH("DEGISECEK",D409)),ISNUMBER(SEARCH("DEĞİŞİM",D409)),ISNUMBER(SEARCH("DEGISIM",D409))),"PARÇA DEĞİŞİMİ",""))</f>
        <v/>
      </c>
      <c r="G409" s="47">
        <f>IF(AND(D409&lt;&gt;"",E409&lt;&gt;"",D409&lt;&gt;E409),"GÜNCELLENDİ","")</f>
        <v/>
      </c>
      <c r="H409" s="48" t="n"/>
    </row>
    <row r="410">
      <c r="A410" s="47" t="n"/>
      <c r="B410" s="47" t="n"/>
      <c r="C410" s="47" t="n"/>
      <c r="D410" s="47" t="n"/>
      <c r="E410" s="47" t="n"/>
      <c r="F410" s="47">
        <f>IF(D410="","",IF(OR(ISNUMBER(SEARCH("PARÇA DEĞİŞ",D410)),ISNUMBER(SEARCH("PARCA DEGIS",D410)),ISNUMBER(SEARCH("DEĞİŞECEK",D410)),ISNUMBER(SEARCH("DEGISECEK",D410)),ISNUMBER(SEARCH("DEĞİŞİM",D410)),ISNUMBER(SEARCH("DEGISIM",D410))),"PARÇA DEĞİŞİMİ",""))</f>
        <v/>
      </c>
      <c r="G410" s="47">
        <f>IF(AND(D410&lt;&gt;"",E410&lt;&gt;"",D410&lt;&gt;E410),"GÜNCELLENDİ","")</f>
        <v/>
      </c>
      <c r="H410" s="48" t="n"/>
    </row>
    <row r="411">
      <c r="A411" s="47" t="n"/>
      <c r="B411" s="47" t="n"/>
      <c r="C411" s="47" t="n"/>
      <c r="D411" s="47" t="n"/>
      <c r="E411" s="47" t="n"/>
      <c r="F411" s="47">
        <f>IF(D411="","",IF(OR(ISNUMBER(SEARCH("PARÇA DEĞİŞ",D411)),ISNUMBER(SEARCH("PARCA DEGIS",D411)),ISNUMBER(SEARCH("DEĞİŞECEK",D411)),ISNUMBER(SEARCH("DEGISECEK",D411)),ISNUMBER(SEARCH("DEĞİŞİM",D411)),ISNUMBER(SEARCH("DEGISIM",D411))),"PARÇA DEĞİŞİMİ",""))</f>
        <v/>
      </c>
      <c r="G411" s="47">
        <f>IF(AND(D411&lt;&gt;"",E411&lt;&gt;"",D411&lt;&gt;E411),"GÜNCELLENDİ","")</f>
        <v/>
      </c>
      <c r="H411" s="48" t="n"/>
    </row>
    <row r="412">
      <c r="A412" s="47" t="n"/>
      <c r="B412" s="47" t="n"/>
      <c r="C412" s="47" t="n"/>
      <c r="D412" s="47" t="n"/>
      <c r="E412" s="47" t="n"/>
      <c r="F412" s="47">
        <f>IF(D412="","",IF(OR(ISNUMBER(SEARCH("PARÇA DEĞİŞ",D412)),ISNUMBER(SEARCH("PARCA DEGIS",D412)),ISNUMBER(SEARCH("DEĞİŞECEK",D412)),ISNUMBER(SEARCH("DEGISECEK",D412)),ISNUMBER(SEARCH("DEĞİŞİM",D412)),ISNUMBER(SEARCH("DEGISIM",D412))),"PARÇA DEĞİŞİMİ",""))</f>
        <v/>
      </c>
      <c r="G412" s="47">
        <f>IF(AND(D412&lt;&gt;"",E412&lt;&gt;"",D412&lt;&gt;E412),"GÜNCELLENDİ","")</f>
        <v/>
      </c>
      <c r="H412" s="48" t="n"/>
    </row>
    <row r="413">
      <c r="A413" s="47" t="n"/>
      <c r="B413" s="47" t="n"/>
      <c r="C413" s="47" t="n"/>
      <c r="D413" s="47" t="n"/>
      <c r="E413" s="47" t="n"/>
      <c r="F413" s="47">
        <f>IF(D413="","",IF(OR(ISNUMBER(SEARCH("PARÇA DEĞİŞ",D413)),ISNUMBER(SEARCH("PARCA DEGIS",D413)),ISNUMBER(SEARCH("DEĞİŞECEK",D413)),ISNUMBER(SEARCH("DEGISECEK",D413)),ISNUMBER(SEARCH("DEĞİŞİM",D413)),ISNUMBER(SEARCH("DEGISIM",D413))),"PARÇA DEĞİŞİMİ",""))</f>
        <v/>
      </c>
      <c r="G413" s="47">
        <f>IF(AND(D413&lt;&gt;"",E413&lt;&gt;"",D413&lt;&gt;E413),"GÜNCELLENDİ","")</f>
        <v/>
      </c>
      <c r="H413" s="48" t="n"/>
    </row>
    <row r="414">
      <c r="A414" s="47" t="n"/>
      <c r="B414" s="47" t="n"/>
      <c r="C414" s="47" t="n"/>
      <c r="D414" s="47" t="n"/>
      <c r="E414" s="47" t="n"/>
      <c r="F414" s="47">
        <f>IF(D414="","",IF(OR(ISNUMBER(SEARCH("PARÇA DEĞİŞ",D414)),ISNUMBER(SEARCH("PARCA DEGIS",D414)),ISNUMBER(SEARCH("DEĞİŞECEK",D414)),ISNUMBER(SEARCH("DEGISECEK",D414)),ISNUMBER(SEARCH("DEĞİŞİM",D414)),ISNUMBER(SEARCH("DEGISIM",D414))),"PARÇA DEĞİŞİMİ",""))</f>
        <v/>
      </c>
      <c r="G414" s="47">
        <f>IF(AND(D414&lt;&gt;"",E414&lt;&gt;"",D414&lt;&gt;E414),"GÜNCELLENDİ","")</f>
        <v/>
      </c>
      <c r="H414" s="48" t="n"/>
    </row>
    <row r="415">
      <c r="A415" s="47" t="n"/>
      <c r="B415" s="47" t="n"/>
      <c r="C415" s="47" t="n"/>
      <c r="D415" s="47" t="n"/>
      <c r="E415" s="47" t="n"/>
      <c r="F415" s="47">
        <f>IF(D415="","",IF(OR(ISNUMBER(SEARCH("PARÇA DEĞİŞ",D415)),ISNUMBER(SEARCH("PARCA DEGIS",D415)),ISNUMBER(SEARCH("DEĞİŞECEK",D415)),ISNUMBER(SEARCH("DEGISECEK",D415)),ISNUMBER(SEARCH("DEĞİŞİM",D415)),ISNUMBER(SEARCH("DEGISIM",D415))),"PARÇA DEĞİŞİMİ",""))</f>
        <v/>
      </c>
      <c r="G415" s="47">
        <f>IF(AND(D415&lt;&gt;"",E415&lt;&gt;"",D415&lt;&gt;E415),"GÜNCELLENDİ","")</f>
        <v/>
      </c>
      <c r="H415" s="48" t="n"/>
    </row>
    <row r="416">
      <c r="A416" s="47" t="n"/>
      <c r="B416" s="47" t="n"/>
      <c r="C416" s="47" t="n"/>
      <c r="D416" s="47" t="n"/>
      <c r="E416" s="47" t="n"/>
      <c r="F416" s="47">
        <f>IF(D416="","",IF(OR(ISNUMBER(SEARCH("PARÇA DEĞİŞ",D416)),ISNUMBER(SEARCH("PARCA DEGIS",D416)),ISNUMBER(SEARCH("DEĞİŞECEK",D416)),ISNUMBER(SEARCH("DEGISECEK",D416)),ISNUMBER(SEARCH("DEĞİŞİM",D416)),ISNUMBER(SEARCH("DEGISIM",D416))),"PARÇA DEĞİŞİMİ",""))</f>
        <v/>
      </c>
      <c r="G416" s="47">
        <f>IF(AND(D416&lt;&gt;"",E416&lt;&gt;"",D416&lt;&gt;E416),"GÜNCELLENDİ","")</f>
        <v/>
      </c>
      <c r="H416" s="48" t="n"/>
    </row>
    <row r="417">
      <c r="A417" s="47" t="n"/>
      <c r="B417" s="47" t="n"/>
      <c r="C417" s="47" t="n"/>
      <c r="D417" s="47" t="n"/>
      <c r="E417" s="47" t="n"/>
      <c r="F417" s="47">
        <f>IF(D417="","",IF(OR(ISNUMBER(SEARCH("PARÇA DEĞİŞ",D417)),ISNUMBER(SEARCH("PARCA DEGIS",D417)),ISNUMBER(SEARCH("DEĞİŞECEK",D417)),ISNUMBER(SEARCH("DEGISECEK",D417)),ISNUMBER(SEARCH("DEĞİŞİM",D417)),ISNUMBER(SEARCH("DEGISIM",D417))),"PARÇA DEĞİŞİMİ",""))</f>
        <v/>
      </c>
      <c r="G417" s="47">
        <f>IF(AND(D417&lt;&gt;"",E417&lt;&gt;"",D417&lt;&gt;E417),"GÜNCELLENDİ","")</f>
        <v/>
      </c>
      <c r="H417" s="48" t="n"/>
    </row>
    <row r="418">
      <c r="A418" s="47" t="n"/>
      <c r="B418" s="47" t="n"/>
      <c r="C418" s="47" t="n"/>
      <c r="D418" s="47" t="n"/>
      <c r="E418" s="47" t="n"/>
      <c r="F418" s="47">
        <f>IF(D418="","",IF(OR(ISNUMBER(SEARCH("PARÇA DEĞİŞ",D418)),ISNUMBER(SEARCH("PARCA DEGIS",D418)),ISNUMBER(SEARCH("DEĞİŞECEK",D418)),ISNUMBER(SEARCH("DEGISECEK",D418)),ISNUMBER(SEARCH("DEĞİŞİM",D418)),ISNUMBER(SEARCH("DEGISIM",D418))),"PARÇA DEĞİŞİMİ",""))</f>
        <v/>
      </c>
      <c r="G418" s="47">
        <f>IF(AND(D418&lt;&gt;"",E418&lt;&gt;"",D418&lt;&gt;E418),"GÜNCELLENDİ","")</f>
        <v/>
      </c>
      <c r="H418" s="48" t="n"/>
    </row>
    <row r="419">
      <c r="A419" s="47" t="n"/>
      <c r="B419" s="47" t="n"/>
      <c r="C419" s="47" t="n"/>
      <c r="D419" s="47" t="n"/>
      <c r="E419" s="47" t="n"/>
      <c r="F419" s="47">
        <f>IF(D419="","",IF(OR(ISNUMBER(SEARCH("PARÇA DEĞİŞ",D419)),ISNUMBER(SEARCH("PARCA DEGIS",D419)),ISNUMBER(SEARCH("DEĞİŞECEK",D419)),ISNUMBER(SEARCH("DEGISECEK",D419)),ISNUMBER(SEARCH("DEĞİŞİM",D419)),ISNUMBER(SEARCH("DEGISIM",D419))),"PARÇA DEĞİŞİMİ",""))</f>
        <v/>
      </c>
      <c r="G419" s="47">
        <f>IF(AND(D419&lt;&gt;"",E419&lt;&gt;"",D419&lt;&gt;E419),"GÜNCELLENDİ","")</f>
        <v/>
      </c>
      <c r="H419" s="48" t="n"/>
    </row>
    <row r="420">
      <c r="A420" s="47" t="n"/>
      <c r="B420" s="47" t="n"/>
      <c r="C420" s="47" t="n"/>
      <c r="D420" s="47" t="n"/>
      <c r="E420" s="47" t="n"/>
      <c r="F420" s="47">
        <f>IF(D420="","",IF(OR(ISNUMBER(SEARCH("PARÇA DEĞİŞ",D420)),ISNUMBER(SEARCH("PARCA DEGIS",D420)),ISNUMBER(SEARCH("DEĞİŞECEK",D420)),ISNUMBER(SEARCH("DEGISECEK",D420)),ISNUMBER(SEARCH("DEĞİŞİM",D420)),ISNUMBER(SEARCH("DEGISIM",D420))),"PARÇA DEĞİŞİMİ",""))</f>
        <v/>
      </c>
      <c r="G420" s="47">
        <f>IF(AND(D420&lt;&gt;"",E420&lt;&gt;"",D420&lt;&gt;E420),"GÜNCELLENDİ","")</f>
        <v/>
      </c>
      <c r="H420" s="48" t="n"/>
    </row>
    <row r="421">
      <c r="A421" s="47" t="n"/>
      <c r="B421" s="47" t="n"/>
      <c r="C421" s="47" t="n"/>
      <c r="D421" s="47" t="n"/>
      <c r="E421" s="47" t="n"/>
      <c r="F421" s="47">
        <f>IF(D421="","",IF(OR(ISNUMBER(SEARCH("PARÇA DEĞİŞ",D421)),ISNUMBER(SEARCH("PARCA DEGIS",D421)),ISNUMBER(SEARCH("DEĞİŞECEK",D421)),ISNUMBER(SEARCH("DEGISECEK",D421)),ISNUMBER(SEARCH("DEĞİŞİM",D421)),ISNUMBER(SEARCH("DEGISIM",D421))),"PARÇA DEĞİŞİMİ",""))</f>
        <v/>
      </c>
      <c r="G421" s="47">
        <f>IF(AND(D421&lt;&gt;"",E421&lt;&gt;"",D421&lt;&gt;E421),"GÜNCELLENDİ","")</f>
        <v/>
      </c>
      <c r="H421" s="48" t="n"/>
    </row>
    <row r="422">
      <c r="A422" s="47" t="n"/>
      <c r="B422" s="47" t="n"/>
      <c r="C422" s="47" t="n"/>
      <c r="D422" s="47" t="n"/>
      <c r="E422" s="47" t="n"/>
      <c r="F422" s="47">
        <f>IF(D422="","",IF(OR(ISNUMBER(SEARCH("PARÇA DEĞİŞ",D422)),ISNUMBER(SEARCH("PARCA DEGIS",D422)),ISNUMBER(SEARCH("DEĞİŞECEK",D422)),ISNUMBER(SEARCH("DEGISECEK",D422)),ISNUMBER(SEARCH("DEĞİŞİM",D422)),ISNUMBER(SEARCH("DEGISIM",D422))),"PARÇA DEĞİŞİMİ",""))</f>
        <v/>
      </c>
      <c r="G422" s="47">
        <f>IF(AND(D422&lt;&gt;"",E422&lt;&gt;"",D422&lt;&gt;E422),"GÜNCELLENDİ","")</f>
        <v/>
      </c>
      <c r="H422" s="48" t="n"/>
    </row>
    <row r="423">
      <c r="A423" s="47" t="n"/>
      <c r="B423" s="47" t="n"/>
      <c r="C423" s="47" t="n"/>
      <c r="D423" s="47" t="n"/>
      <c r="E423" s="47" t="n"/>
      <c r="F423" s="47">
        <f>IF(D423="","",IF(OR(ISNUMBER(SEARCH("PARÇA DEĞİŞ",D423)),ISNUMBER(SEARCH("PARCA DEGIS",D423)),ISNUMBER(SEARCH("DEĞİŞECEK",D423)),ISNUMBER(SEARCH("DEGISECEK",D423)),ISNUMBER(SEARCH("DEĞİŞİM",D423)),ISNUMBER(SEARCH("DEGISIM",D423))),"PARÇA DEĞİŞİMİ",""))</f>
        <v/>
      </c>
      <c r="G423" s="47">
        <f>IF(AND(D423&lt;&gt;"",E423&lt;&gt;"",D423&lt;&gt;E423),"GÜNCELLENDİ","")</f>
        <v/>
      </c>
      <c r="H423" s="48" t="n"/>
    </row>
    <row r="424">
      <c r="A424" s="47" t="n"/>
      <c r="B424" s="47" t="n"/>
      <c r="C424" s="47" t="n"/>
      <c r="D424" s="47" t="n"/>
      <c r="E424" s="47" t="n"/>
      <c r="F424" s="47">
        <f>IF(D424="","",IF(OR(ISNUMBER(SEARCH("PARÇA DEĞİŞ",D424)),ISNUMBER(SEARCH("PARCA DEGIS",D424)),ISNUMBER(SEARCH("DEĞİŞECEK",D424)),ISNUMBER(SEARCH("DEGISECEK",D424)),ISNUMBER(SEARCH("DEĞİŞİM",D424)),ISNUMBER(SEARCH("DEGISIM",D424))),"PARÇA DEĞİŞİMİ",""))</f>
        <v/>
      </c>
      <c r="G424" s="47">
        <f>IF(AND(D424&lt;&gt;"",E424&lt;&gt;"",D424&lt;&gt;E424),"GÜNCELLENDİ","")</f>
        <v/>
      </c>
      <c r="H424" s="48" t="n"/>
    </row>
    <row r="425">
      <c r="A425" s="47" t="n"/>
      <c r="B425" s="47" t="n"/>
      <c r="C425" s="47" t="n"/>
      <c r="D425" s="47" t="n"/>
      <c r="E425" s="47" t="n"/>
      <c r="F425" s="47">
        <f>IF(D425="","",IF(OR(ISNUMBER(SEARCH("PARÇA DEĞİŞ",D425)),ISNUMBER(SEARCH("PARCA DEGIS",D425)),ISNUMBER(SEARCH("DEĞİŞECEK",D425)),ISNUMBER(SEARCH("DEGISECEK",D425)),ISNUMBER(SEARCH("DEĞİŞİM",D425)),ISNUMBER(SEARCH("DEGISIM",D425))),"PARÇA DEĞİŞİMİ",""))</f>
        <v/>
      </c>
      <c r="G425" s="47">
        <f>IF(AND(D425&lt;&gt;"",E425&lt;&gt;"",D425&lt;&gt;E425),"GÜNCELLENDİ","")</f>
        <v/>
      </c>
      <c r="H425" s="48" t="n"/>
    </row>
    <row r="426">
      <c r="A426" s="47" t="n"/>
      <c r="B426" s="47" t="n"/>
      <c r="C426" s="47" t="n"/>
      <c r="D426" s="47" t="n"/>
      <c r="E426" s="47" t="n"/>
      <c r="F426" s="47">
        <f>IF(D426="","",IF(OR(ISNUMBER(SEARCH("PARÇA DEĞİŞ",D426)),ISNUMBER(SEARCH("PARCA DEGIS",D426)),ISNUMBER(SEARCH("DEĞİŞECEK",D426)),ISNUMBER(SEARCH("DEGISECEK",D426)),ISNUMBER(SEARCH("DEĞİŞİM",D426)),ISNUMBER(SEARCH("DEGISIM",D426))),"PARÇA DEĞİŞİMİ",""))</f>
        <v/>
      </c>
      <c r="G426" s="47">
        <f>IF(AND(D426&lt;&gt;"",E426&lt;&gt;"",D426&lt;&gt;E426),"GÜNCELLENDİ","")</f>
        <v/>
      </c>
      <c r="H426" s="48" t="n"/>
    </row>
    <row r="427">
      <c r="A427" s="47" t="n"/>
      <c r="B427" s="47" t="n"/>
      <c r="C427" s="47" t="n"/>
      <c r="D427" s="47" t="n"/>
      <c r="E427" s="47" t="n"/>
      <c r="F427" s="47">
        <f>IF(D427="","",IF(OR(ISNUMBER(SEARCH("PARÇA DEĞİŞ",D427)),ISNUMBER(SEARCH("PARCA DEGIS",D427)),ISNUMBER(SEARCH("DEĞİŞECEK",D427)),ISNUMBER(SEARCH("DEGISECEK",D427)),ISNUMBER(SEARCH("DEĞİŞİM",D427)),ISNUMBER(SEARCH("DEGISIM",D427))),"PARÇA DEĞİŞİMİ",""))</f>
        <v/>
      </c>
      <c r="G427" s="47">
        <f>IF(AND(D427&lt;&gt;"",E427&lt;&gt;"",D427&lt;&gt;E427),"GÜNCELLENDİ","")</f>
        <v/>
      </c>
      <c r="H427" s="48" t="n"/>
    </row>
    <row r="428">
      <c r="A428" s="47" t="n"/>
      <c r="B428" s="47" t="n"/>
      <c r="C428" s="47" t="n"/>
      <c r="D428" s="47" t="n"/>
      <c r="E428" s="47" t="n"/>
      <c r="F428" s="47">
        <f>IF(D428="","",IF(OR(ISNUMBER(SEARCH("PARÇA DEĞİŞ",D428)),ISNUMBER(SEARCH("PARCA DEGIS",D428)),ISNUMBER(SEARCH("DEĞİŞECEK",D428)),ISNUMBER(SEARCH("DEGISECEK",D428)),ISNUMBER(SEARCH("DEĞİŞİM",D428)),ISNUMBER(SEARCH("DEGISIM",D428))),"PARÇA DEĞİŞİMİ",""))</f>
        <v/>
      </c>
      <c r="G428" s="47">
        <f>IF(AND(D428&lt;&gt;"",E428&lt;&gt;"",D428&lt;&gt;E428),"GÜNCELLENDİ","")</f>
        <v/>
      </c>
      <c r="H428" s="48" t="n"/>
    </row>
    <row r="429">
      <c r="A429" s="47" t="n"/>
      <c r="B429" s="47" t="n"/>
      <c r="C429" s="47" t="n"/>
      <c r="D429" s="47" t="n"/>
      <c r="E429" s="47" t="n"/>
      <c r="F429" s="47">
        <f>IF(D429="","",IF(OR(ISNUMBER(SEARCH("PARÇA DEĞİŞ",D429)),ISNUMBER(SEARCH("PARCA DEGIS",D429)),ISNUMBER(SEARCH("DEĞİŞECEK",D429)),ISNUMBER(SEARCH("DEGISECEK",D429)),ISNUMBER(SEARCH("DEĞİŞİM",D429)),ISNUMBER(SEARCH("DEGISIM",D429))),"PARÇA DEĞİŞİMİ",""))</f>
        <v/>
      </c>
      <c r="G429" s="47">
        <f>IF(AND(D429&lt;&gt;"",E429&lt;&gt;"",D429&lt;&gt;E429),"GÜNCELLENDİ","")</f>
        <v/>
      </c>
      <c r="H429" s="48" t="n"/>
    </row>
    <row r="430">
      <c r="A430" s="47" t="n"/>
      <c r="B430" s="47" t="n"/>
      <c r="C430" s="47" t="n"/>
      <c r="D430" s="47" t="n"/>
      <c r="E430" s="47" t="n"/>
      <c r="F430" s="47">
        <f>IF(D430="","",IF(OR(ISNUMBER(SEARCH("PARÇA DEĞİŞ",D430)),ISNUMBER(SEARCH("PARCA DEGIS",D430)),ISNUMBER(SEARCH("DEĞİŞECEK",D430)),ISNUMBER(SEARCH("DEGISECEK",D430)),ISNUMBER(SEARCH("DEĞİŞİM",D430)),ISNUMBER(SEARCH("DEGISIM",D430))),"PARÇA DEĞİŞİMİ",""))</f>
        <v/>
      </c>
      <c r="G430" s="47">
        <f>IF(AND(D430&lt;&gt;"",E430&lt;&gt;"",D430&lt;&gt;E430),"GÜNCELLENDİ","")</f>
        <v/>
      </c>
      <c r="H430" s="48" t="n"/>
    </row>
    <row r="431">
      <c r="A431" s="47" t="n"/>
      <c r="B431" s="47" t="n"/>
      <c r="C431" s="47" t="n"/>
      <c r="D431" s="47" t="n"/>
      <c r="E431" s="47" t="n"/>
      <c r="F431" s="47">
        <f>IF(D431="","",IF(OR(ISNUMBER(SEARCH("PARÇA DEĞİŞ",D431)),ISNUMBER(SEARCH("PARCA DEGIS",D431)),ISNUMBER(SEARCH("DEĞİŞECEK",D431)),ISNUMBER(SEARCH("DEGISECEK",D431)),ISNUMBER(SEARCH("DEĞİŞİM",D431)),ISNUMBER(SEARCH("DEGISIM",D431))),"PARÇA DEĞİŞİMİ",""))</f>
        <v/>
      </c>
      <c r="G431" s="47">
        <f>IF(AND(D431&lt;&gt;"",E431&lt;&gt;"",D431&lt;&gt;E431),"GÜNCELLENDİ","")</f>
        <v/>
      </c>
      <c r="H431" s="48" t="n"/>
    </row>
    <row r="432">
      <c r="A432" s="47" t="n"/>
      <c r="B432" s="47" t="n"/>
      <c r="C432" s="47" t="n"/>
      <c r="D432" s="47" t="n"/>
      <c r="E432" s="47" t="n"/>
      <c r="F432" s="47">
        <f>IF(D432="","",IF(OR(ISNUMBER(SEARCH("PARÇA DEĞİŞ",D432)),ISNUMBER(SEARCH("PARCA DEGIS",D432)),ISNUMBER(SEARCH("DEĞİŞECEK",D432)),ISNUMBER(SEARCH("DEGISECEK",D432)),ISNUMBER(SEARCH("DEĞİŞİM",D432)),ISNUMBER(SEARCH("DEGISIM",D432))),"PARÇA DEĞİŞİMİ",""))</f>
        <v/>
      </c>
      <c r="G432" s="47">
        <f>IF(AND(D432&lt;&gt;"",E432&lt;&gt;"",D432&lt;&gt;E432),"GÜNCELLENDİ","")</f>
        <v/>
      </c>
      <c r="H432" s="48" t="n"/>
    </row>
    <row r="433">
      <c r="A433" s="47" t="n"/>
      <c r="B433" s="47" t="n"/>
      <c r="C433" s="47" t="n"/>
      <c r="D433" s="47" t="n"/>
      <c r="E433" s="47" t="n"/>
      <c r="F433" s="47">
        <f>IF(D433="","",IF(OR(ISNUMBER(SEARCH("PARÇA DEĞİŞ",D433)),ISNUMBER(SEARCH("PARCA DEGIS",D433)),ISNUMBER(SEARCH("DEĞİŞECEK",D433)),ISNUMBER(SEARCH("DEGISECEK",D433)),ISNUMBER(SEARCH("DEĞİŞİM",D433)),ISNUMBER(SEARCH("DEGISIM",D433))),"PARÇA DEĞİŞİMİ",""))</f>
        <v/>
      </c>
      <c r="G433" s="47">
        <f>IF(AND(D433&lt;&gt;"",E433&lt;&gt;"",D433&lt;&gt;E433),"GÜNCELLENDİ","")</f>
        <v/>
      </c>
      <c r="H433" s="48" t="n"/>
    </row>
    <row r="434">
      <c r="A434" s="47" t="n"/>
      <c r="B434" s="47" t="n"/>
      <c r="C434" s="47" t="n"/>
      <c r="D434" s="47" t="n"/>
      <c r="E434" s="47" t="n"/>
      <c r="F434" s="47">
        <f>IF(D434="","",IF(OR(ISNUMBER(SEARCH("PARÇA DEĞİŞ",D434)),ISNUMBER(SEARCH("PARCA DEGIS",D434)),ISNUMBER(SEARCH("DEĞİŞECEK",D434)),ISNUMBER(SEARCH("DEGISECEK",D434)),ISNUMBER(SEARCH("DEĞİŞİM",D434)),ISNUMBER(SEARCH("DEGISIM",D434))),"PARÇA DEĞİŞİMİ",""))</f>
        <v/>
      </c>
      <c r="G434" s="47">
        <f>IF(AND(D434&lt;&gt;"",E434&lt;&gt;"",D434&lt;&gt;E434),"GÜNCELLENDİ","")</f>
        <v/>
      </c>
      <c r="H434" s="48" t="n"/>
    </row>
    <row r="435">
      <c r="A435" s="47" t="n"/>
      <c r="B435" s="47" t="n"/>
      <c r="C435" s="47" t="n"/>
      <c r="D435" s="47" t="n"/>
      <c r="E435" s="47" t="n"/>
      <c r="F435" s="47">
        <f>IF(D435="","",IF(OR(ISNUMBER(SEARCH("PARÇA DEĞİŞ",D435)),ISNUMBER(SEARCH("PARCA DEGIS",D435)),ISNUMBER(SEARCH("DEĞİŞECEK",D435)),ISNUMBER(SEARCH("DEGISECEK",D435)),ISNUMBER(SEARCH("DEĞİŞİM",D435)),ISNUMBER(SEARCH("DEGISIM",D435))),"PARÇA DEĞİŞİMİ",""))</f>
        <v/>
      </c>
      <c r="G435" s="47">
        <f>IF(AND(D435&lt;&gt;"",E435&lt;&gt;"",D435&lt;&gt;E435),"GÜNCELLENDİ","")</f>
        <v/>
      </c>
      <c r="H435" s="48" t="n"/>
    </row>
    <row r="436">
      <c r="A436" s="47" t="n"/>
      <c r="B436" s="47" t="n"/>
      <c r="C436" s="47" t="n"/>
      <c r="D436" s="47" t="n"/>
      <c r="E436" s="47" t="n"/>
      <c r="F436" s="47">
        <f>IF(D436="","",IF(OR(ISNUMBER(SEARCH("PARÇA DEĞİŞ",D436)),ISNUMBER(SEARCH("PARCA DEGIS",D436)),ISNUMBER(SEARCH("DEĞİŞECEK",D436)),ISNUMBER(SEARCH("DEGISECEK",D436)),ISNUMBER(SEARCH("DEĞİŞİM",D436)),ISNUMBER(SEARCH("DEGISIM",D436))),"PARÇA DEĞİŞİMİ",""))</f>
        <v/>
      </c>
      <c r="G436" s="47">
        <f>IF(AND(D436&lt;&gt;"",E436&lt;&gt;"",D436&lt;&gt;E436),"GÜNCELLENDİ","")</f>
        <v/>
      </c>
      <c r="H436" s="48" t="n"/>
    </row>
    <row r="437">
      <c r="A437" s="47" t="n"/>
      <c r="B437" s="47" t="n"/>
      <c r="C437" s="47" t="n"/>
      <c r="D437" s="47" t="n"/>
      <c r="E437" s="47" t="n"/>
      <c r="F437" s="47">
        <f>IF(D437="","",IF(OR(ISNUMBER(SEARCH("PARÇA DEĞİŞ",D437)),ISNUMBER(SEARCH("PARCA DEGIS",D437)),ISNUMBER(SEARCH("DEĞİŞECEK",D437)),ISNUMBER(SEARCH("DEGISECEK",D437)),ISNUMBER(SEARCH("DEĞİŞİM",D437)),ISNUMBER(SEARCH("DEGISIM",D437))),"PARÇA DEĞİŞİMİ",""))</f>
        <v/>
      </c>
      <c r="G437" s="47">
        <f>IF(AND(D437&lt;&gt;"",E437&lt;&gt;"",D437&lt;&gt;E437),"GÜNCELLENDİ","")</f>
        <v/>
      </c>
      <c r="H437" s="48" t="n"/>
    </row>
    <row r="438">
      <c r="A438" s="47" t="n"/>
      <c r="B438" s="47" t="n"/>
      <c r="C438" s="47" t="n"/>
      <c r="D438" s="47" t="n"/>
      <c r="E438" s="47" t="n"/>
      <c r="F438" s="47">
        <f>IF(D438="","",IF(OR(ISNUMBER(SEARCH("PARÇA DEĞİŞ",D438)),ISNUMBER(SEARCH("PARCA DEGIS",D438)),ISNUMBER(SEARCH("DEĞİŞECEK",D438)),ISNUMBER(SEARCH("DEGISECEK",D438)),ISNUMBER(SEARCH("DEĞİŞİM",D438)),ISNUMBER(SEARCH("DEGISIM",D438))),"PARÇA DEĞİŞİMİ",""))</f>
        <v/>
      </c>
      <c r="G438" s="47">
        <f>IF(AND(D438&lt;&gt;"",E438&lt;&gt;"",D438&lt;&gt;E438),"GÜNCELLENDİ","")</f>
        <v/>
      </c>
      <c r="H438" s="48" t="n"/>
    </row>
    <row r="439">
      <c r="A439" s="47" t="n"/>
      <c r="B439" s="47" t="n"/>
      <c r="C439" s="47" t="n"/>
      <c r="D439" s="47" t="n"/>
      <c r="E439" s="47" t="n"/>
      <c r="F439" s="47">
        <f>IF(D439="","",IF(OR(ISNUMBER(SEARCH("PARÇA DEĞİŞ",D439)),ISNUMBER(SEARCH("PARCA DEGIS",D439)),ISNUMBER(SEARCH("DEĞİŞECEK",D439)),ISNUMBER(SEARCH("DEGISECEK",D439)),ISNUMBER(SEARCH("DEĞİŞİM",D439)),ISNUMBER(SEARCH("DEGISIM",D439))),"PARÇA DEĞİŞİMİ",""))</f>
        <v/>
      </c>
      <c r="G439" s="47">
        <f>IF(AND(D439&lt;&gt;"",E439&lt;&gt;"",D439&lt;&gt;E439),"GÜNCELLENDİ","")</f>
        <v/>
      </c>
      <c r="H439" s="48" t="n"/>
    </row>
    <row r="440">
      <c r="A440" s="47" t="n"/>
      <c r="B440" s="47" t="n"/>
      <c r="C440" s="47" t="n"/>
      <c r="D440" s="47" t="n"/>
      <c r="E440" s="47" t="n"/>
      <c r="F440" s="47">
        <f>IF(D440="","",IF(OR(ISNUMBER(SEARCH("PARÇA DEĞİŞ",D440)),ISNUMBER(SEARCH("PARCA DEGIS",D440)),ISNUMBER(SEARCH("DEĞİŞECEK",D440)),ISNUMBER(SEARCH("DEGISECEK",D440)),ISNUMBER(SEARCH("DEĞİŞİM",D440)),ISNUMBER(SEARCH("DEGISIM",D440))),"PARÇA DEĞİŞİMİ",""))</f>
        <v/>
      </c>
      <c r="G440" s="47">
        <f>IF(AND(D440&lt;&gt;"",E440&lt;&gt;"",D440&lt;&gt;E440),"GÜNCELLENDİ","")</f>
        <v/>
      </c>
      <c r="H440" s="48" t="n"/>
    </row>
    <row r="441">
      <c r="A441" s="47" t="n"/>
      <c r="B441" s="47" t="n"/>
      <c r="C441" s="47" t="n"/>
      <c r="D441" s="47" t="n"/>
      <c r="E441" s="47" t="n"/>
      <c r="F441" s="47">
        <f>IF(D441="","",IF(OR(ISNUMBER(SEARCH("PARÇA DEĞİŞ",D441)),ISNUMBER(SEARCH("PARCA DEGIS",D441)),ISNUMBER(SEARCH("DEĞİŞECEK",D441)),ISNUMBER(SEARCH("DEGISECEK",D441)),ISNUMBER(SEARCH("DEĞİŞİM",D441)),ISNUMBER(SEARCH("DEGISIM",D441))),"PARÇA DEĞİŞİMİ",""))</f>
        <v/>
      </c>
      <c r="G441" s="47">
        <f>IF(AND(D441&lt;&gt;"",E441&lt;&gt;"",D441&lt;&gt;E441),"GÜNCELLENDİ","")</f>
        <v/>
      </c>
      <c r="H441" s="48" t="n"/>
    </row>
    <row r="442">
      <c r="A442" s="47" t="n"/>
      <c r="B442" s="47" t="n"/>
      <c r="C442" s="47" t="n"/>
      <c r="D442" s="47" t="n"/>
      <c r="E442" s="47" t="n"/>
      <c r="F442" s="47">
        <f>IF(D442="","",IF(OR(ISNUMBER(SEARCH("PARÇA DEĞİŞ",D442)),ISNUMBER(SEARCH("PARCA DEGIS",D442)),ISNUMBER(SEARCH("DEĞİŞECEK",D442)),ISNUMBER(SEARCH("DEGISECEK",D442)),ISNUMBER(SEARCH("DEĞİŞİM",D442)),ISNUMBER(SEARCH("DEGISIM",D442))),"PARÇA DEĞİŞİMİ",""))</f>
        <v/>
      </c>
      <c r="G442" s="47">
        <f>IF(AND(D442&lt;&gt;"",E442&lt;&gt;"",D442&lt;&gt;E442),"GÜNCELLENDİ","")</f>
        <v/>
      </c>
      <c r="H442" s="48" t="n"/>
    </row>
    <row r="443">
      <c r="A443" s="47" t="n"/>
      <c r="B443" s="47" t="n"/>
      <c r="C443" s="47" t="n"/>
      <c r="D443" s="47" t="n"/>
      <c r="E443" s="47" t="n"/>
      <c r="F443" s="47">
        <f>IF(D443="","",IF(OR(ISNUMBER(SEARCH("PARÇA DEĞİŞ",D443)),ISNUMBER(SEARCH("PARCA DEGIS",D443)),ISNUMBER(SEARCH("DEĞİŞECEK",D443)),ISNUMBER(SEARCH("DEGISECEK",D443)),ISNUMBER(SEARCH("DEĞİŞİM",D443)),ISNUMBER(SEARCH("DEGISIM",D443))),"PARÇA DEĞİŞİMİ",""))</f>
        <v/>
      </c>
      <c r="G443" s="47">
        <f>IF(AND(D443&lt;&gt;"",E443&lt;&gt;"",D443&lt;&gt;E443),"GÜNCELLENDİ","")</f>
        <v/>
      </c>
      <c r="H443" s="48" t="n"/>
    </row>
    <row r="444">
      <c r="A444" s="47" t="n"/>
      <c r="B444" s="47" t="n"/>
      <c r="C444" s="47" t="n"/>
      <c r="D444" s="47" t="n"/>
      <c r="E444" s="47" t="n"/>
      <c r="F444" s="47">
        <f>IF(D444="","",IF(OR(ISNUMBER(SEARCH("PARÇA DEĞİŞ",D444)),ISNUMBER(SEARCH("PARCA DEGIS",D444)),ISNUMBER(SEARCH("DEĞİŞECEK",D444)),ISNUMBER(SEARCH("DEGISECEK",D444)),ISNUMBER(SEARCH("DEĞİŞİM",D444)),ISNUMBER(SEARCH("DEGISIM",D444))),"PARÇA DEĞİŞİMİ",""))</f>
        <v/>
      </c>
      <c r="G444" s="47">
        <f>IF(AND(D444&lt;&gt;"",E444&lt;&gt;"",D444&lt;&gt;E444),"GÜNCELLENDİ","")</f>
        <v/>
      </c>
      <c r="H444" s="48" t="n"/>
    </row>
    <row r="445">
      <c r="A445" s="47" t="n"/>
      <c r="B445" s="47" t="n"/>
      <c r="C445" s="47" t="n"/>
      <c r="D445" s="47" t="n"/>
      <c r="E445" s="47" t="n"/>
      <c r="F445" s="47">
        <f>IF(D445="","",IF(OR(ISNUMBER(SEARCH("PARÇA DEĞİŞ",D445)),ISNUMBER(SEARCH("PARCA DEGIS",D445)),ISNUMBER(SEARCH("DEĞİŞECEK",D445)),ISNUMBER(SEARCH("DEGISECEK",D445)),ISNUMBER(SEARCH("DEĞİŞİM",D445)),ISNUMBER(SEARCH("DEGISIM",D445))),"PARÇA DEĞİŞİMİ",""))</f>
        <v/>
      </c>
      <c r="G445" s="47">
        <f>IF(AND(D445&lt;&gt;"",E445&lt;&gt;"",D445&lt;&gt;E445),"GÜNCELLENDİ","")</f>
        <v/>
      </c>
      <c r="H445" s="48" t="n"/>
    </row>
    <row r="446">
      <c r="A446" s="47" t="n"/>
      <c r="B446" s="47" t="n"/>
      <c r="C446" s="47" t="n"/>
      <c r="D446" s="47" t="n"/>
      <c r="E446" s="47" t="n"/>
      <c r="F446" s="47">
        <f>IF(D446="","",IF(OR(ISNUMBER(SEARCH("PARÇA DEĞİŞ",D446)),ISNUMBER(SEARCH("PARCA DEGIS",D446)),ISNUMBER(SEARCH("DEĞİŞECEK",D446)),ISNUMBER(SEARCH("DEGISECEK",D446)),ISNUMBER(SEARCH("DEĞİŞİM",D446)),ISNUMBER(SEARCH("DEGISIM",D446))),"PARÇA DEĞİŞİMİ",""))</f>
        <v/>
      </c>
      <c r="G446" s="47">
        <f>IF(AND(D446&lt;&gt;"",E446&lt;&gt;"",D446&lt;&gt;E446),"GÜNCELLENDİ","")</f>
        <v/>
      </c>
      <c r="H446" s="48" t="n"/>
    </row>
    <row r="447">
      <c r="A447" s="47" t="n"/>
      <c r="B447" s="47" t="n"/>
      <c r="C447" s="47" t="n"/>
      <c r="D447" s="47" t="n"/>
      <c r="E447" s="47" t="n"/>
      <c r="F447" s="47">
        <f>IF(D447="","",IF(OR(ISNUMBER(SEARCH("PARÇA DEĞİŞ",D447)),ISNUMBER(SEARCH("PARCA DEGIS",D447)),ISNUMBER(SEARCH("DEĞİŞECEK",D447)),ISNUMBER(SEARCH("DEGISECEK",D447)),ISNUMBER(SEARCH("DEĞİŞİM",D447)),ISNUMBER(SEARCH("DEGISIM",D447))),"PARÇA DEĞİŞİMİ",""))</f>
        <v/>
      </c>
      <c r="G447" s="47">
        <f>IF(AND(D447&lt;&gt;"",E447&lt;&gt;"",D447&lt;&gt;E447),"GÜNCELLENDİ","")</f>
        <v/>
      </c>
      <c r="H447" s="48" t="n"/>
    </row>
    <row r="448">
      <c r="A448" s="47" t="n"/>
      <c r="B448" s="47" t="n"/>
      <c r="C448" s="47" t="n"/>
      <c r="D448" s="47" t="n"/>
      <c r="E448" s="47" t="n"/>
      <c r="F448" s="47">
        <f>IF(D448="","",IF(OR(ISNUMBER(SEARCH("PARÇA DEĞİŞ",D448)),ISNUMBER(SEARCH("PARCA DEGIS",D448)),ISNUMBER(SEARCH("DEĞİŞECEK",D448)),ISNUMBER(SEARCH("DEGISECEK",D448)),ISNUMBER(SEARCH("DEĞİŞİM",D448)),ISNUMBER(SEARCH("DEGISIM",D448))),"PARÇA DEĞİŞİMİ",""))</f>
        <v/>
      </c>
      <c r="G448" s="47">
        <f>IF(AND(D448&lt;&gt;"",E448&lt;&gt;"",D448&lt;&gt;E448),"GÜNCELLENDİ","")</f>
        <v/>
      </c>
      <c r="H448" s="48" t="n"/>
    </row>
    <row r="449">
      <c r="A449" s="47" t="n"/>
      <c r="B449" s="47" t="n"/>
      <c r="C449" s="47" t="n"/>
      <c r="D449" s="47" t="n"/>
      <c r="E449" s="47" t="n"/>
      <c r="F449" s="47">
        <f>IF(D449="","",IF(OR(ISNUMBER(SEARCH("PARÇA DEĞİŞ",D449)),ISNUMBER(SEARCH("PARCA DEGIS",D449)),ISNUMBER(SEARCH("DEĞİŞECEK",D449)),ISNUMBER(SEARCH("DEGISECEK",D449)),ISNUMBER(SEARCH("DEĞİŞİM",D449)),ISNUMBER(SEARCH("DEGISIM",D449))),"PARÇA DEĞİŞİMİ",""))</f>
        <v/>
      </c>
      <c r="G449" s="47">
        <f>IF(AND(D449&lt;&gt;"",E449&lt;&gt;"",D449&lt;&gt;E449),"GÜNCELLENDİ","")</f>
        <v/>
      </c>
      <c r="H449" s="48" t="n"/>
    </row>
    <row r="450">
      <c r="A450" s="47" t="n"/>
      <c r="B450" s="47" t="n"/>
      <c r="C450" s="47" t="n"/>
      <c r="D450" s="47" t="n"/>
      <c r="E450" s="47" t="n"/>
      <c r="F450" s="47">
        <f>IF(D450="","",IF(OR(ISNUMBER(SEARCH("PARÇA DEĞİŞ",D450)),ISNUMBER(SEARCH("PARCA DEGIS",D450)),ISNUMBER(SEARCH("DEĞİŞECEK",D450)),ISNUMBER(SEARCH("DEGISECEK",D450)),ISNUMBER(SEARCH("DEĞİŞİM",D450)),ISNUMBER(SEARCH("DEGISIM",D450))),"PARÇA DEĞİŞİMİ",""))</f>
        <v/>
      </c>
      <c r="G450" s="47">
        <f>IF(AND(D450&lt;&gt;"",E450&lt;&gt;"",D450&lt;&gt;E450),"GÜNCELLENDİ","")</f>
        <v/>
      </c>
      <c r="H450" s="48" t="n"/>
    </row>
    <row r="451">
      <c r="A451" s="47" t="n"/>
      <c r="B451" s="47" t="n"/>
      <c r="C451" s="47" t="n"/>
      <c r="D451" s="47" t="n"/>
      <c r="E451" s="47" t="n"/>
      <c r="F451" s="47">
        <f>IF(D451="","",IF(OR(ISNUMBER(SEARCH("PARÇA DEĞİŞ",D451)),ISNUMBER(SEARCH("PARCA DEGIS",D451)),ISNUMBER(SEARCH("DEĞİŞECEK",D451)),ISNUMBER(SEARCH("DEGISECEK",D451)),ISNUMBER(SEARCH("DEĞİŞİM",D451)),ISNUMBER(SEARCH("DEGISIM",D451))),"PARÇA DEĞİŞİMİ",""))</f>
        <v/>
      </c>
      <c r="G451" s="47">
        <f>IF(AND(D451&lt;&gt;"",E451&lt;&gt;"",D451&lt;&gt;E451),"GÜNCELLENDİ","")</f>
        <v/>
      </c>
      <c r="H451" s="48" t="n"/>
    </row>
    <row r="452">
      <c r="A452" s="47" t="n"/>
      <c r="B452" s="47" t="n"/>
      <c r="C452" s="47" t="n"/>
      <c r="D452" s="47" t="n"/>
      <c r="E452" s="47" t="n"/>
      <c r="F452" s="47">
        <f>IF(D452="","",IF(OR(ISNUMBER(SEARCH("PARÇA DEĞİŞ",D452)),ISNUMBER(SEARCH("PARCA DEGIS",D452)),ISNUMBER(SEARCH("DEĞİŞECEK",D452)),ISNUMBER(SEARCH("DEGISECEK",D452)),ISNUMBER(SEARCH("DEĞİŞİM",D452)),ISNUMBER(SEARCH("DEGISIM",D452))),"PARÇA DEĞİŞİMİ",""))</f>
        <v/>
      </c>
      <c r="G452" s="47">
        <f>IF(AND(D452&lt;&gt;"",E452&lt;&gt;"",D452&lt;&gt;E452),"GÜNCELLENDİ","")</f>
        <v/>
      </c>
      <c r="H452" s="48" t="n"/>
    </row>
    <row r="453">
      <c r="A453" s="47" t="n"/>
      <c r="B453" s="47" t="n"/>
      <c r="C453" s="47" t="n"/>
      <c r="D453" s="47" t="n"/>
      <c r="E453" s="47" t="n"/>
      <c r="F453" s="47">
        <f>IF(D453="","",IF(OR(ISNUMBER(SEARCH("PARÇA DEĞİŞ",D453)),ISNUMBER(SEARCH("PARCA DEGIS",D453)),ISNUMBER(SEARCH("DEĞİŞECEK",D453)),ISNUMBER(SEARCH("DEGISECEK",D453)),ISNUMBER(SEARCH("DEĞİŞİM",D453)),ISNUMBER(SEARCH("DEGISIM",D453))),"PARÇA DEĞİŞİMİ",""))</f>
        <v/>
      </c>
      <c r="G453" s="47">
        <f>IF(AND(D453&lt;&gt;"",E453&lt;&gt;"",D453&lt;&gt;E453),"GÜNCELLENDİ","")</f>
        <v/>
      </c>
      <c r="H453" s="48" t="n"/>
    </row>
    <row r="454">
      <c r="A454" s="47" t="n"/>
      <c r="B454" s="47" t="n"/>
      <c r="C454" s="47" t="n"/>
      <c r="D454" s="47" t="n"/>
      <c r="E454" s="47" t="n"/>
      <c r="F454" s="47">
        <f>IF(D454="","",IF(OR(ISNUMBER(SEARCH("PARÇA DEĞİŞ",D454)),ISNUMBER(SEARCH("PARCA DEGIS",D454)),ISNUMBER(SEARCH("DEĞİŞECEK",D454)),ISNUMBER(SEARCH("DEGISECEK",D454)),ISNUMBER(SEARCH("DEĞİŞİM",D454)),ISNUMBER(SEARCH("DEGISIM",D454))),"PARÇA DEĞİŞİMİ",""))</f>
        <v/>
      </c>
      <c r="G454" s="47">
        <f>IF(AND(D454&lt;&gt;"",E454&lt;&gt;"",D454&lt;&gt;E454),"GÜNCELLENDİ","")</f>
        <v/>
      </c>
      <c r="H454" s="48" t="n"/>
    </row>
    <row r="455">
      <c r="A455" s="47" t="n"/>
      <c r="B455" s="47" t="n"/>
      <c r="C455" s="47" t="n"/>
      <c r="D455" s="47" t="n"/>
      <c r="E455" s="47" t="n"/>
      <c r="F455" s="47">
        <f>IF(D455="","",IF(OR(ISNUMBER(SEARCH("PARÇA DEĞİŞ",D455)),ISNUMBER(SEARCH("PARCA DEGIS",D455)),ISNUMBER(SEARCH("DEĞİŞECEK",D455)),ISNUMBER(SEARCH("DEGISECEK",D455)),ISNUMBER(SEARCH("DEĞİŞİM",D455)),ISNUMBER(SEARCH("DEGISIM",D455))),"PARÇA DEĞİŞİMİ",""))</f>
        <v/>
      </c>
      <c r="G455" s="47">
        <f>IF(AND(D455&lt;&gt;"",E455&lt;&gt;"",D455&lt;&gt;E455),"GÜNCELLENDİ","")</f>
        <v/>
      </c>
      <c r="H455" s="48" t="n"/>
    </row>
    <row r="456">
      <c r="A456" s="47" t="n"/>
      <c r="B456" s="47" t="n"/>
      <c r="C456" s="47" t="n"/>
      <c r="D456" s="47" t="n"/>
      <c r="E456" s="47" t="n"/>
      <c r="F456" s="47">
        <f>IF(D456="","",IF(OR(ISNUMBER(SEARCH("PARÇA DEĞİŞ",D456)),ISNUMBER(SEARCH("PARCA DEGIS",D456)),ISNUMBER(SEARCH("DEĞİŞECEK",D456)),ISNUMBER(SEARCH("DEGISECEK",D456)),ISNUMBER(SEARCH("DEĞİŞİM",D456)),ISNUMBER(SEARCH("DEGISIM",D456))),"PARÇA DEĞİŞİMİ",""))</f>
        <v/>
      </c>
      <c r="G456" s="47">
        <f>IF(AND(D456&lt;&gt;"",E456&lt;&gt;"",D456&lt;&gt;E456),"GÜNCELLENDİ","")</f>
        <v/>
      </c>
      <c r="H456" s="48" t="n"/>
    </row>
    <row r="457">
      <c r="A457" s="47" t="n"/>
      <c r="B457" s="47" t="n"/>
      <c r="C457" s="47" t="n"/>
      <c r="D457" s="47" t="n"/>
      <c r="E457" s="47" t="n"/>
      <c r="F457" s="47">
        <f>IF(D457="","",IF(OR(ISNUMBER(SEARCH("PARÇA DEĞİŞ",D457)),ISNUMBER(SEARCH("PARCA DEGIS",D457)),ISNUMBER(SEARCH("DEĞİŞECEK",D457)),ISNUMBER(SEARCH("DEGISECEK",D457)),ISNUMBER(SEARCH("DEĞİŞİM",D457)),ISNUMBER(SEARCH("DEGISIM",D457))),"PARÇA DEĞİŞİMİ",""))</f>
        <v/>
      </c>
      <c r="G457" s="47">
        <f>IF(AND(D457&lt;&gt;"",E457&lt;&gt;"",D457&lt;&gt;E457),"GÜNCELLENDİ","")</f>
        <v/>
      </c>
      <c r="H457" s="48" t="n"/>
    </row>
    <row r="458">
      <c r="A458" s="47" t="n"/>
      <c r="B458" s="47" t="n"/>
      <c r="C458" s="47" t="n"/>
      <c r="D458" s="47" t="n"/>
      <c r="E458" s="47" t="n"/>
      <c r="F458" s="47">
        <f>IF(D458="","",IF(OR(ISNUMBER(SEARCH("PARÇA DEĞİŞ",D458)),ISNUMBER(SEARCH("PARCA DEGIS",D458)),ISNUMBER(SEARCH("DEĞİŞECEK",D458)),ISNUMBER(SEARCH("DEGISECEK",D458)),ISNUMBER(SEARCH("DEĞİŞİM",D458)),ISNUMBER(SEARCH("DEGISIM",D458))),"PARÇA DEĞİŞİMİ",""))</f>
        <v/>
      </c>
      <c r="G458" s="47">
        <f>IF(AND(D458&lt;&gt;"",E458&lt;&gt;"",D458&lt;&gt;E458),"GÜNCELLENDİ","")</f>
        <v/>
      </c>
      <c r="H458" s="48" t="n"/>
    </row>
    <row r="459">
      <c r="A459" s="47" t="n"/>
      <c r="B459" s="47" t="n"/>
      <c r="C459" s="47" t="n"/>
      <c r="D459" s="47" t="n"/>
      <c r="E459" s="47" t="n"/>
      <c r="F459" s="47">
        <f>IF(D459="","",IF(OR(ISNUMBER(SEARCH("PARÇA DEĞİŞ",D459)),ISNUMBER(SEARCH("PARCA DEGIS",D459)),ISNUMBER(SEARCH("DEĞİŞECEK",D459)),ISNUMBER(SEARCH("DEGISECEK",D459)),ISNUMBER(SEARCH("DEĞİŞİM",D459)),ISNUMBER(SEARCH("DEGISIM",D459))),"PARÇA DEĞİŞİMİ",""))</f>
        <v/>
      </c>
      <c r="G459" s="47">
        <f>IF(AND(D459&lt;&gt;"",E459&lt;&gt;"",D459&lt;&gt;E459),"GÜNCELLENDİ","")</f>
        <v/>
      </c>
      <c r="H459" s="48" t="n"/>
    </row>
    <row r="460">
      <c r="A460" s="47" t="n"/>
      <c r="B460" s="47" t="n"/>
      <c r="C460" s="47" t="n"/>
      <c r="D460" s="47" t="n"/>
      <c r="E460" s="47" t="n"/>
      <c r="F460" s="47">
        <f>IF(D460="","",IF(OR(ISNUMBER(SEARCH("PARÇA DEĞİŞ",D460)),ISNUMBER(SEARCH("PARCA DEGIS",D460)),ISNUMBER(SEARCH("DEĞİŞECEK",D460)),ISNUMBER(SEARCH("DEGISECEK",D460)),ISNUMBER(SEARCH("DEĞİŞİM",D460)),ISNUMBER(SEARCH("DEGISIM",D460))),"PARÇA DEĞİŞİMİ",""))</f>
        <v/>
      </c>
      <c r="G460" s="47">
        <f>IF(AND(D460&lt;&gt;"",E460&lt;&gt;"",D460&lt;&gt;E460),"GÜNCELLENDİ","")</f>
        <v/>
      </c>
      <c r="H460" s="48" t="n"/>
    </row>
    <row r="461">
      <c r="A461" s="47" t="n"/>
      <c r="B461" s="47" t="n"/>
      <c r="C461" s="47" t="n"/>
      <c r="D461" s="47" t="n"/>
      <c r="E461" s="47" t="n"/>
      <c r="F461" s="47">
        <f>IF(D461="","",IF(OR(ISNUMBER(SEARCH("PARÇA DEĞİŞ",D461)),ISNUMBER(SEARCH("PARCA DEGIS",D461)),ISNUMBER(SEARCH("DEĞİŞECEK",D461)),ISNUMBER(SEARCH("DEGISECEK",D461)),ISNUMBER(SEARCH("DEĞİŞİM",D461)),ISNUMBER(SEARCH("DEGISIM",D461))),"PARÇA DEĞİŞİMİ",""))</f>
        <v/>
      </c>
      <c r="G461" s="47">
        <f>IF(AND(D461&lt;&gt;"",E461&lt;&gt;"",D461&lt;&gt;E461),"GÜNCELLENDİ","")</f>
        <v/>
      </c>
      <c r="H461" s="48" t="n"/>
    </row>
    <row r="462">
      <c r="A462" s="47" t="n"/>
      <c r="B462" s="47" t="n"/>
      <c r="C462" s="47" t="n"/>
      <c r="D462" s="47" t="n"/>
      <c r="E462" s="47" t="n"/>
      <c r="F462" s="47">
        <f>IF(D462="","",IF(OR(ISNUMBER(SEARCH("PARÇA DEĞİŞ",D462)),ISNUMBER(SEARCH("PARCA DEGIS",D462)),ISNUMBER(SEARCH("DEĞİŞECEK",D462)),ISNUMBER(SEARCH("DEGISECEK",D462)),ISNUMBER(SEARCH("DEĞİŞİM",D462)),ISNUMBER(SEARCH("DEGISIM",D462))),"PARÇA DEĞİŞİMİ",""))</f>
        <v/>
      </c>
      <c r="G462" s="47">
        <f>IF(AND(D462&lt;&gt;"",E462&lt;&gt;"",D462&lt;&gt;E462),"GÜNCELLENDİ","")</f>
        <v/>
      </c>
      <c r="H462" s="48" t="n"/>
    </row>
    <row r="463">
      <c r="A463" s="47" t="n"/>
      <c r="B463" s="47" t="n"/>
      <c r="C463" s="47" t="n"/>
      <c r="D463" s="47" t="n"/>
      <c r="E463" s="47" t="n"/>
      <c r="F463" s="47">
        <f>IF(D463="","",IF(OR(ISNUMBER(SEARCH("PARÇA DEĞİŞ",D463)),ISNUMBER(SEARCH("PARCA DEGIS",D463)),ISNUMBER(SEARCH("DEĞİŞECEK",D463)),ISNUMBER(SEARCH("DEGISECEK",D463)),ISNUMBER(SEARCH("DEĞİŞİM",D463)),ISNUMBER(SEARCH("DEGISIM",D463))),"PARÇA DEĞİŞİMİ",""))</f>
        <v/>
      </c>
      <c r="G463" s="47">
        <f>IF(AND(D463&lt;&gt;"",E463&lt;&gt;"",D463&lt;&gt;E463),"GÜNCELLENDİ","")</f>
        <v/>
      </c>
      <c r="H463" s="48" t="n"/>
    </row>
    <row r="464">
      <c r="A464" s="47" t="n"/>
      <c r="B464" s="47" t="n"/>
      <c r="C464" s="47" t="n"/>
      <c r="D464" s="47" t="n"/>
      <c r="E464" s="47" t="n"/>
      <c r="F464" s="47">
        <f>IF(D464="","",IF(OR(ISNUMBER(SEARCH("PARÇA DEĞİŞ",D464)),ISNUMBER(SEARCH("PARCA DEGIS",D464)),ISNUMBER(SEARCH("DEĞİŞECEK",D464)),ISNUMBER(SEARCH("DEGISECEK",D464)),ISNUMBER(SEARCH("DEĞİŞİM",D464)),ISNUMBER(SEARCH("DEGISIM",D464))),"PARÇA DEĞİŞİMİ",""))</f>
        <v/>
      </c>
      <c r="G464" s="47">
        <f>IF(AND(D464&lt;&gt;"",E464&lt;&gt;"",D464&lt;&gt;E464),"GÜNCELLENDİ","")</f>
        <v/>
      </c>
      <c r="H464" s="48" t="n"/>
    </row>
    <row r="465">
      <c r="A465" s="47" t="n"/>
      <c r="B465" s="47" t="n"/>
      <c r="C465" s="47" t="n"/>
      <c r="D465" s="47" t="n"/>
      <c r="E465" s="47" t="n"/>
      <c r="F465" s="47">
        <f>IF(D465="","",IF(OR(ISNUMBER(SEARCH("PARÇA DEĞİŞ",D465)),ISNUMBER(SEARCH("PARCA DEGIS",D465)),ISNUMBER(SEARCH("DEĞİŞECEK",D465)),ISNUMBER(SEARCH("DEGISECEK",D465)),ISNUMBER(SEARCH("DEĞİŞİM",D465)),ISNUMBER(SEARCH("DEGISIM",D465))),"PARÇA DEĞİŞİMİ",""))</f>
        <v/>
      </c>
      <c r="G465" s="47">
        <f>IF(AND(D465&lt;&gt;"",E465&lt;&gt;"",D465&lt;&gt;E465),"GÜNCELLENDİ","")</f>
        <v/>
      </c>
      <c r="H465" s="48" t="n"/>
    </row>
    <row r="466">
      <c r="A466" s="47" t="n"/>
      <c r="B466" s="47" t="n"/>
      <c r="C466" s="47" t="n"/>
      <c r="D466" s="47" t="n"/>
      <c r="E466" s="47" t="n"/>
      <c r="F466" s="47">
        <f>IF(D466="","",IF(OR(ISNUMBER(SEARCH("PARÇA DEĞİŞ",D466)),ISNUMBER(SEARCH("PARCA DEGIS",D466)),ISNUMBER(SEARCH("DEĞİŞECEK",D466)),ISNUMBER(SEARCH("DEGISECEK",D466)),ISNUMBER(SEARCH("DEĞİŞİM",D466)),ISNUMBER(SEARCH("DEGISIM",D466))),"PARÇA DEĞİŞİMİ",""))</f>
        <v/>
      </c>
      <c r="G466" s="47">
        <f>IF(AND(D466&lt;&gt;"",E466&lt;&gt;"",D466&lt;&gt;E466),"GÜNCELLENDİ","")</f>
        <v/>
      </c>
      <c r="H466" s="48" t="n"/>
    </row>
    <row r="467">
      <c r="A467" s="47" t="n"/>
      <c r="B467" s="47" t="n"/>
      <c r="C467" s="47" t="n"/>
      <c r="D467" s="47" t="n"/>
      <c r="E467" s="47" t="n"/>
      <c r="F467" s="47">
        <f>IF(D467="","",IF(OR(ISNUMBER(SEARCH("PARÇA DEĞİŞ",D467)),ISNUMBER(SEARCH("PARCA DEGIS",D467)),ISNUMBER(SEARCH("DEĞİŞECEK",D467)),ISNUMBER(SEARCH("DEGISECEK",D467)),ISNUMBER(SEARCH("DEĞİŞİM",D467)),ISNUMBER(SEARCH("DEGISIM",D467))),"PARÇA DEĞİŞİMİ",""))</f>
        <v/>
      </c>
      <c r="G467" s="47">
        <f>IF(AND(D467&lt;&gt;"",E467&lt;&gt;"",D467&lt;&gt;E467),"GÜNCELLENDİ","")</f>
        <v/>
      </c>
      <c r="H467" s="48" t="n"/>
    </row>
    <row r="468">
      <c r="A468" s="47" t="n"/>
      <c r="B468" s="47" t="n"/>
      <c r="C468" s="47" t="n"/>
      <c r="D468" s="47" t="n"/>
      <c r="E468" s="47" t="n"/>
      <c r="F468" s="47">
        <f>IF(D468="","",IF(OR(ISNUMBER(SEARCH("PARÇA DEĞİŞ",D468)),ISNUMBER(SEARCH("PARCA DEGIS",D468)),ISNUMBER(SEARCH("DEĞİŞECEK",D468)),ISNUMBER(SEARCH("DEGISECEK",D468)),ISNUMBER(SEARCH("DEĞİŞİM",D468)),ISNUMBER(SEARCH("DEGISIM",D468))),"PARÇA DEĞİŞİMİ",""))</f>
        <v/>
      </c>
      <c r="G468" s="47">
        <f>IF(AND(D468&lt;&gt;"",E468&lt;&gt;"",D468&lt;&gt;E468),"GÜNCELLENDİ","")</f>
        <v/>
      </c>
      <c r="H468" s="48" t="n"/>
    </row>
    <row r="469">
      <c r="A469" s="47" t="n"/>
      <c r="B469" s="47" t="n"/>
      <c r="C469" s="47" t="n"/>
      <c r="D469" s="47" t="n"/>
      <c r="E469" s="47" t="n"/>
      <c r="F469" s="47">
        <f>IF(D469="","",IF(OR(ISNUMBER(SEARCH("PARÇA DEĞİŞ",D469)),ISNUMBER(SEARCH("PARCA DEGIS",D469)),ISNUMBER(SEARCH("DEĞİŞECEK",D469)),ISNUMBER(SEARCH("DEGISECEK",D469)),ISNUMBER(SEARCH("DEĞİŞİM",D469)),ISNUMBER(SEARCH("DEGISIM",D469))),"PARÇA DEĞİŞİMİ",""))</f>
        <v/>
      </c>
      <c r="G469" s="47">
        <f>IF(AND(D469&lt;&gt;"",E469&lt;&gt;"",D469&lt;&gt;E469),"GÜNCELLENDİ","")</f>
        <v/>
      </c>
      <c r="H469" s="48" t="n"/>
    </row>
    <row r="470">
      <c r="A470" s="47" t="n"/>
      <c r="B470" s="47" t="n"/>
      <c r="C470" s="47" t="n"/>
      <c r="D470" s="47" t="n"/>
      <c r="E470" s="47" t="n"/>
      <c r="F470" s="47">
        <f>IF(D470="","",IF(OR(ISNUMBER(SEARCH("PARÇA DEĞİŞ",D470)),ISNUMBER(SEARCH("PARCA DEGIS",D470)),ISNUMBER(SEARCH("DEĞİŞECEK",D470)),ISNUMBER(SEARCH("DEGISECEK",D470)),ISNUMBER(SEARCH("DEĞİŞİM",D470)),ISNUMBER(SEARCH("DEGISIM",D470))),"PARÇA DEĞİŞİMİ",""))</f>
        <v/>
      </c>
      <c r="G470" s="47">
        <f>IF(AND(D470&lt;&gt;"",E470&lt;&gt;"",D470&lt;&gt;E470),"GÜNCELLENDİ","")</f>
        <v/>
      </c>
      <c r="H470" s="48" t="n"/>
    </row>
    <row r="471">
      <c r="A471" s="47" t="n"/>
      <c r="B471" s="47" t="n"/>
      <c r="C471" s="47" t="n"/>
      <c r="D471" s="47" t="n"/>
      <c r="E471" s="47" t="n"/>
      <c r="F471" s="47">
        <f>IF(D471="","",IF(OR(ISNUMBER(SEARCH("PARÇA DEĞİŞ",D471)),ISNUMBER(SEARCH("PARCA DEGIS",D471)),ISNUMBER(SEARCH("DEĞİŞECEK",D471)),ISNUMBER(SEARCH("DEGISECEK",D471)),ISNUMBER(SEARCH("DEĞİŞİM",D471)),ISNUMBER(SEARCH("DEGISIM",D471))),"PARÇA DEĞİŞİMİ",""))</f>
        <v/>
      </c>
      <c r="G471" s="47">
        <f>IF(AND(D471&lt;&gt;"",E471&lt;&gt;"",D471&lt;&gt;E471),"GÜNCELLENDİ","")</f>
        <v/>
      </c>
      <c r="H471" s="48" t="n"/>
    </row>
    <row r="472">
      <c r="A472" s="47" t="n"/>
      <c r="B472" s="47" t="n"/>
      <c r="C472" s="47" t="n"/>
      <c r="D472" s="47" t="n"/>
      <c r="E472" s="47" t="n"/>
      <c r="F472" s="47">
        <f>IF(D472="","",IF(OR(ISNUMBER(SEARCH("PARÇA DEĞİŞ",D472)),ISNUMBER(SEARCH("PARCA DEGIS",D472)),ISNUMBER(SEARCH("DEĞİŞECEK",D472)),ISNUMBER(SEARCH("DEGISECEK",D472)),ISNUMBER(SEARCH("DEĞİŞİM",D472)),ISNUMBER(SEARCH("DEGISIM",D472))),"PARÇA DEĞİŞİMİ",""))</f>
        <v/>
      </c>
      <c r="G472" s="47">
        <f>IF(AND(D472&lt;&gt;"",E472&lt;&gt;"",D472&lt;&gt;E472),"GÜNCELLENDİ","")</f>
        <v/>
      </c>
      <c r="H472" s="48" t="n"/>
    </row>
    <row r="473">
      <c r="A473" s="47" t="n"/>
      <c r="B473" s="47" t="n"/>
      <c r="C473" s="47" t="n"/>
      <c r="D473" s="47" t="n"/>
      <c r="E473" s="47" t="n"/>
      <c r="F473" s="47">
        <f>IF(D473="","",IF(OR(ISNUMBER(SEARCH("PARÇA DEĞİŞ",D473)),ISNUMBER(SEARCH("PARCA DEGIS",D473)),ISNUMBER(SEARCH("DEĞİŞECEK",D473)),ISNUMBER(SEARCH("DEGISECEK",D473)),ISNUMBER(SEARCH("DEĞİŞİM",D473)),ISNUMBER(SEARCH("DEGISIM",D473))),"PARÇA DEĞİŞİMİ",""))</f>
        <v/>
      </c>
      <c r="G473" s="47">
        <f>IF(AND(D473&lt;&gt;"",E473&lt;&gt;"",D473&lt;&gt;E473),"GÜNCELLENDİ","")</f>
        <v/>
      </c>
      <c r="H473" s="48" t="n"/>
    </row>
    <row r="474">
      <c r="A474" s="47" t="n"/>
      <c r="B474" s="47" t="n"/>
      <c r="C474" s="47" t="n"/>
      <c r="D474" s="47" t="n"/>
      <c r="E474" s="47" t="n"/>
      <c r="F474" s="47">
        <f>IF(D474="","",IF(OR(ISNUMBER(SEARCH("PARÇA DEĞİŞ",D474)),ISNUMBER(SEARCH("PARCA DEGIS",D474)),ISNUMBER(SEARCH("DEĞİŞECEK",D474)),ISNUMBER(SEARCH("DEGISECEK",D474)),ISNUMBER(SEARCH("DEĞİŞİM",D474)),ISNUMBER(SEARCH("DEGISIM",D474))),"PARÇA DEĞİŞİMİ",""))</f>
        <v/>
      </c>
      <c r="G474" s="47">
        <f>IF(AND(D474&lt;&gt;"",E474&lt;&gt;"",D474&lt;&gt;E474),"GÜNCELLENDİ","")</f>
        <v/>
      </c>
      <c r="H474" s="48" t="n"/>
    </row>
    <row r="475">
      <c r="A475" s="47" t="n"/>
      <c r="B475" s="47" t="n"/>
      <c r="C475" s="47" t="n"/>
      <c r="D475" s="47" t="n"/>
      <c r="E475" s="47" t="n"/>
      <c r="F475" s="47">
        <f>IF(D475="","",IF(OR(ISNUMBER(SEARCH("PARÇA DEĞİŞ",D475)),ISNUMBER(SEARCH("PARCA DEGIS",D475)),ISNUMBER(SEARCH("DEĞİŞECEK",D475)),ISNUMBER(SEARCH("DEGISECEK",D475)),ISNUMBER(SEARCH("DEĞİŞİM",D475)),ISNUMBER(SEARCH("DEGISIM",D475))),"PARÇA DEĞİŞİMİ",""))</f>
        <v/>
      </c>
      <c r="G475" s="47">
        <f>IF(AND(D475&lt;&gt;"",E475&lt;&gt;"",D475&lt;&gt;E475),"GÜNCELLENDİ","")</f>
        <v/>
      </c>
      <c r="H475" s="48" t="n"/>
    </row>
    <row r="476">
      <c r="A476" s="47" t="n"/>
      <c r="B476" s="47" t="n"/>
      <c r="C476" s="47" t="n"/>
      <c r="D476" s="47" t="n"/>
      <c r="E476" s="47" t="n"/>
      <c r="F476" s="47">
        <f>IF(D476="","",IF(OR(ISNUMBER(SEARCH("PARÇA DEĞİŞ",D476)),ISNUMBER(SEARCH("PARCA DEGIS",D476)),ISNUMBER(SEARCH("DEĞİŞECEK",D476)),ISNUMBER(SEARCH("DEGISECEK",D476)),ISNUMBER(SEARCH("DEĞİŞİM",D476)),ISNUMBER(SEARCH("DEGISIM",D476))),"PARÇA DEĞİŞİMİ",""))</f>
        <v/>
      </c>
      <c r="G476" s="47">
        <f>IF(AND(D476&lt;&gt;"",E476&lt;&gt;"",D476&lt;&gt;E476),"GÜNCELLENDİ","")</f>
        <v/>
      </c>
      <c r="H476" s="48" t="n"/>
    </row>
    <row r="477">
      <c r="A477" s="47" t="n"/>
      <c r="B477" s="47" t="n"/>
      <c r="C477" s="47" t="n"/>
      <c r="D477" s="47" t="n"/>
      <c r="E477" s="47" t="n"/>
      <c r="F477" s="47">
        <f>IF(D477="","",IF(OR(ISNUMBER(SEARCH("PARÇA DEĞİŞ",D477)),ISNUMBER(SEARCH("PARCA DEGIS",D477)),ISNUMBER(SEARCH("DEĞİŞECEK",D477)),ISNUMBER(SEARCH("DEGISECEK",D477)),ISNUMBER(SEARCH("DEĞİŞİM",D477)),ISNUMBER(SEARCH("DEGISIM",D477))),"PARÇA DEĞİŞİMİ",""))</f>
        <v/>
      </c>
      <c r="G477" s="47">
        <f>IF(AND(D477&lt;&gt;"",E477&lt;&gt;"",D477&lt;&gt;E477),"GÜNCELLENDİ","")</f>
        <v/>
      </c>
      <c r="H477" s="48" t="n"/>
    </row>
    <row r="478">
      <c r="A478" s="47" t="n"/>
      <c r="B478" s="47" t="n"/>
      <c r="C478" s="47" t="n"/>
      <c r="D478" s="47" t="n"/>
      <c r="E478" s="47" t="n"/>
      <c r="F478" s="47">
        <f>IF(D478="","",IF(OR(ISNUMBER(SEARCH("PARÇA DEĞİŞ",D478)),ISNUMBER(SEARCH("PARCA DEGIS",D478)),ISNUMBER(SEARCH("DEĞİŞECEK",D478)),ISNUMBER(SEARCH("DEGISECEK",D478)),ISNUMBER(SEARCH("DEĞİŞİM",D478)),ISNUMBER(SEARCH("DEGISIM",D478))),"PARÇA DEĞİŞİMİ",""))</f>
        <v/>
      </c>
      <c r="G478" s="47">
        <f>IF(AND(D478&lt;&gt;"",E478&lt;&gt;"",D478&lt;&gt;E478),"GÜNCELLENDİ","")</f>
        <v/>
      </c>
      <c r="H478" s="48" t="n"/>
    </row>
    <row r="479">
      <c r="A479" s="47" t="n"/>
      <c r="B479" s="47" t="n"/>
      <c r="C479" s="47" t="n"/>
      <c r="D479" s="47" t="n"/>
      <c r="E479" s="47" t="n"/>
      <c r="F479" s="47">
        <f>IF(D479="","",IF(OR(ISNUMBER(SEARCH("PARÇA DEĞİŞ",D479)),ISNUMBER(SEARCH("PARCA DEGIS",D479)),ISNUMBER(SEARCH("DEĞİŞECEK",D479)),ISNUMBER(SEARCH("DEGISECEK",D479)),ISNUMBER(SEARCH("DEĞİŞİM",D479)),ISNUMBER(SEARCH("DEGISIM",D479))),"PARÇA DEĞİŞİMİ",""))</f>
        <v/>
      </c>
      <c r="G479" s="47">
        <f>IF(AND(D479&lt;&gt;"",E479&lt;&gt;"",D479&lt;&gt;E479),"GÜNCELLENDİ","")</f>
        <v/>
      </c>
      <c r="H479" s="48" t="n"/>
    </row>
    <row r="480">
      <c r="A480" s="47" t="n"/>
      <c r="B480" s="47" t="n"/>
      <c r="C480" s="47" t="n"/>
      <c r="D480" s="47" t="n"/>
      <c r="E480" s="47" t="n"/>
      <c r="F480" s="47">
        <f>IF(D480="","",IF(OR(ISNUMBER(SEARCH("PARÇA DEĞİŞ",D480)),ISNUMBER(SEARCH("PARCA DEGIS",D480)),ISNUMBER(SEARCH("DEĞİŞECEK",D480)),ISNUMBER(SEARCH("DEGISECEK",D480)),ISNUMBER(SEARCH("DEĞİŞİM",D480)),ISNUMBER(SEARCH("DEGISIM",D480))),"PARÇA DEĞİŞİMİ",""))</f>
        <v/>
      </c>
      <c r="G480" s="47">
        <f>IF(AND(D480&lt;&gt;"",E480&lt;&gt;"",D480&lt;&gt;E480),"GÜNCELLENDİ","")</f>
        <v/>
      </c>
      <c r="H480" s="48" t="n"/>
    </row>
    <row r="481">
      <c r="A481" s="47" t="n"/>
      <c r="B481" s="47" t="n"/>
      <c r="C481" s="47" t="n"/>
      <c r="D481" s="47" t="n"/>
      <c r="E481" s="47" t="n"/>
      <c r="F481" s="47">
        <f>IF(D481="","",IF(OR(ISNUMBER(SEARCH("PARÇA DEĞİŞ",D481)),ISNUMBER(SEARCH("PARCA DEGIS",D481)),ISNUMBER(SEARCH("DEĞİŞECEK",D481)),ISNUMBER(SEARCH("DEGISECEK",D481)),ISNUMBER(SEARCH("DEĞİŞİM",D481)),ISNUMBER(SEARCH("DEGISIM",D481))),"PARÇA DEĞİŞİMİ",""))</f>
        <v/>
      </c>
      <c r="G481" s="47">
        <f>IF(AND(D481&lt;&gt;"",E481&lt;&gt;"",D481&lt;&gt;E481),"GÜNCELLENDİ","")</f>
        <v/>
      </c>
      <c r="H481" s="48" t="n"/>
    </row>
    <row r="482">
      <c r="A482" s="47" t="n"/>
      <c r="B482" s="47" t="n"/>
      <c r="C482" s="47" t="n"/>
      <c r="D482" s="47" t="n"/>
      <c r="E482" s="47" t="n"/>
      <c r="F482" s="47">
        <f>IF(D482="","",IF(OR(ISNUMBER(SEARCH("PARÇA DEĞİŞ",D482)),ISNUMBER(SEARCH("PARCA DEGIS",D482)),ISNUMBER(SEARCH("DEĞİŞECEK",D482)),ISNUMBER(SEARCH("DEGISECEK",D482)),ISNUMBER(SEARCH("DEĞİŞİM",D482)),ISNUMBER(SEARCH("DEGISIM",D482))),"PARÇA DEĞİŞİMİ",""))</f>
        <v/>
      </c>
      <c r="G482" s="47">
        <f>IF(AND(D482&lt;&gt;"",E482&lt;&gt;"",D482&lt;&gt;E482),"GÜNCELLENDİ","")</f>
        <v/>
      </c>
      <c r="H482" s="48" t="n"/>
    </row>
    <row r="483">
      <c r="A483" s="47" t="n"/>
      <c r="B483" s="47" t="n"/>
      <c r="C483" s="47" t="n"/>
      <c r="D483" s="47" t="n"/>
      <c r="E483" s="47" t="n"/>
      <c r="F483" s="47">
        <f>IF(D483="","",IF(OR(ISNUMBER(SEARCH("PARÇA DEĞİŞ",D483)),ISNUMBER(SEARCH("PARCA DEGIS",D483)),ISNUMBER(SEARCH("DEĞİŞECEK",D483)),ISNUMBER(SEARCH("DEGISECEK",D483)),ISNUMBER(SEARCH("DEĞİŞİM",D483)),ISNUMBER(SEARCH("DEGISIM",D483))),"PARÇA DEĞİŞİMİ",""))</f>
        <v/>
      </c>
      <c r="G483" s="47">
        <f>IF(AND(D483&lt;&gt;"",E483&lt;&gt;"",D483&lt;&gt;E483),"GÜNCELLENDİ","")</f>
        <v/>
      </c>
      <c r="H483" s="48" t="n"/>
    </row>
    <row r="484">
      <c r="A484" s="47" t="n"/>
      <c r="B484" s="47" t="n"/>
      <c r="C484" s="47" t="n"/>
      <c r="D484" s="47" t="n"/>
      <c r="E484" s="47" t="n"/>
      <c r="F484" s="47">
        <f>IF(D484="","",IF(OR(ISNUMBER(SEARCH("PARÇA DEĞİŞ",D484)),ISNUMBER(SEARCH("PARCA DEGIS",D484)),ISNUMBER(SEARCH("DEĞİŞECEK",D484)),ISNUMBER(SEARCH("DEGISECEK",D484)),ISNUMBER(SEARCH("DEĞİŞİM",D484)),ISNUMBER(SEARCH("DEGISIM",D484))),"PARÇA DEĞİŞİMİ",""))</f>
        <v/>
      </c>
      <c r="G484" s="47">
        <f>IF(AND(D484&lt;&gt;"",E484&lt;&gt;"",D484&lt;&gt;E484),"GÜNCELLENDİ","")</f>
        <v/>
      </c>
      <c r="H484" s="48" t="n"/>
    </row>
    <row r="485">
      <c r="A485" s="47" t="n"/>
      <c r="B485" s="47" t="n"/>
      <c r="C485" s="47" t="n"/>
      <c r="D485" s="47" t="n"/>
      <c r="E485" s="47" t="n"/>
      <c r="F485" s="47">
        <f>IF(D485="","",IF(OR(ISNUMBER(SEARCH("PARÇA DEĞİŞ",D485)),ISNUMBER(SEARCH("PARCA DEGIS",D485)),ISNUMBER(SEARCH("DEĞİŞECEK",D485)),ISNUMBER(SEARCH("DEGISECEK",D485)),ISNUMBER(SEARCH("DEĞİŞİM",D485)),ISNUMBER(SEARCH("DEGISIM",D485))),"PARÇA DEĞİŞİMİ",""))</f>
        <v/>
      </c>
      <c r="G485" s="47">
        <f>IF(AND(D485&lt;&gt;"",E485&lt;&gt;"",D485&lt;&gt;E485),"GÜNCELLENDİ","")</f>
        <v/>
      </c>
      <c r="H485" s="48" t="n"/>
    </row>
    <row r="486">
      <c r="A486" s="47" t="n"/>
      <c r="B486" s="47" t="n"/>
      <c r="C486" s="47" t="n"/>
      <c r="D486" s="47" t="n"/>
      <c r="E486" s="47" t="n"/>
      <c r="F486" s="47">
        <f>IF(D486="","",IF(OR(ISNUMBER(SEARCH("PARÇA DEĞİŞ",D486)),ISNUMBER(SEARCH("PARCA DEGIS",D486)),ISNUMBER(SEARCH("DEĞİŞECEK",D486)),ISNUMBER(SEARCH("DEGISECEK",D486)),ISNUMBER(SEARCH("DEĞİŞİM",D486)),ISNUMBER(SEARCH("DEGISIM",D486))),"PARÇA DEĞİŞİMİ",""))</f>
        <v/>
      </c>
      <c r="G486" s="47">
        <f>IF(AND(D486&lt;&gt;"",E486&lt;&gt;"",D486&lt;&gt;E486),"GÜNCELLENDİ","")</f>
        <v/>
      </c>
      <c r="H486" s="48" t="n"/>
    </row>
    <row r="487">
      <c r="A487" s="47" t="n"/>
      <c r="B487" s="47" t="n"/>
      <c r="C487" s="47" t="n"/>
      <c r="D487" s="47" t="n"/>
      <c r="E487" s="47" t="n"/>
      <c r="F487" s="47">
        <f>IF(D487="","",IF(OR(ISNUMBER(SEARCH("PARÇA DEĞİŞ",D487)),ISNUMBER(SEARCH("PARCA DEGIS",D487)),ISNUMBER(SEARCH("DEĞİŞECEK",D487)),ISNUMBER(SEARCH("DEGISECEK",D487)),ISNUMBER(SEARCH("DEĞİŞİM",D487)),ISNUMBER(SEARCH("DEGISIM",D487))),"PARÇA DEĞİŞİMİ",""))</f>
        <v/>
      </c>
      <c r="G487" s="47">
        <f>IF(AND(D487&lt;&gt;"",E487&lt;&gt;"",D487&lt;&gt;E487),"GÜNCELLENDİ","")</f>
        <v/>
      </c>
      <c r="H487" s="48" t="n"/>
    </row>
    <row r="488">
      <c r="A488" s="47" t="n"/>
      <c r="B488" s="47" t="n"/>
      <c r="C488" s="47" t="n"/>
      <c r="D488" s="47" t="n"/>
      <c r="E488" s="47" t="n"/>
      <c r="F488" s="47">
        <f>IF(D488="","",IF(OR(ISNUMBER(SEARCH("PARÇA DEĞİŞ",D488)),ISNUMBER(SEARCH("PARCA DEGIS",D488)),ISNUMBER(SEARCH("DEĞİŞECEK",D488)),ISNUMBER(SEARCH("DEGISECEK",D488)),ISNUMBER(SEARCH("DEĞİŞİM",D488)),ISNUMBER(SEARCH("DEGISIM",D488))),"PARÇA DEĞİŞİMİ",""))</f>
        <v/>
      </c>
      <c r="G488" s="47">
        <f>IF(AND(D488&lt;&gt;"",E488&lt;&gt;"",D488&lt;&gt;E488),"GÜNCELLENDİ","")</f>
        <v/>
      </c>
      <c r="H488" s="48" t="n"/>
    </row>
    <row r="489">
      <c r="A489" s="47" t="n"/>
      <c r="B489" s="47" t="n"/>
      <c r="C489" s="47" t="n"/>
      <c r="D489" s="47" t="n"/>
      <c r="E489" s="47" t="n"/>
      <c r="F489" s="47">
        <f>IF(D489="","",IF(OR(ISNUMBER(SEARCH("PARÇA DEĞİŞ",D489)),ISNUMBER(SEARCH("PARCA DEGIS",D489)),ISNUMBER(SEARCH("DEĞİŞECEK",D489)),ISNUMBER(SEARCH("DEGISECEK",D489)),ISNUMBER(SEARCH("DEĞİŞİM",D489)),ISNUMBER(SEARCH("DEGISIM",D489))),"PARÇA DEĞİŞİMİ",""))</f>
        <v/>
      </c>
      <c r="G489" s="47">
        <f>IF(AND(D489&lt;&gt;"",E489&lt;&gt;"",D489&lt;&gt;E489),"GÜNCELLENDİ","")</f>
        <v/>
      </c>
      <c r="H489" s="48" t="n"/>
    </row>
    <row r="490">
      <c r="A490" s="47" t="n"/>
      <c r="B490" s="47" t="n"/>
      <c r="C490" s="47" t="n"/>
      <c r="D490" s="47" t="n"/>
      <c r="E490" s="47" t="n"/>
      <c r="F490" s="47">
        <f>IF(D490="","",IF(OR(ISNUMBER(SEARCH("PARÇA DEĞİŞ",D490)),ISNUMBER(SEARCH("PARCA DEGIS",D490)),ISNUMBER(SEARCH("DEĞİŞECEK",D490)),ISNUMBER(SEARCH("DEGISECEK",D490)),ISNUMBER(SEARCH("DEĞİŞİM",D490)),ISNUMBER(SEARCH("DEGISIM",D490))),"PARÇA DEĞİŞİMİ",""))</f>
        <v/>
      </c>
      <c r="G490" s="47">
        <f>IF(AND(D490&lt;&gt;"",E490&lt;&gt;"",D490&lt;&gt;E490),"GÜNCELLENDİ","")</f>
        <v/>
      </c>
      <c r="H490" s="48" t="n"/>
    </row>
    <row r="491">
      <c r="A491" s="47" t="n"/>
      <c r="B491" s="47" t="n"/>
      <c r="C491" s="47" t="n"/>
      <c r="D491" s="47" t="n"/>
      <c r="E491" s="47" t="n"/>
      <c r="F491" s="47">
        <f>IF(D491="","",IF(OR(ISNUMBER(SEARCH("PARÇA DEĞİŞ",D491)),ISNUMBER(SEARCH("PARCA DEGIS",D491)),ISNUMBER(SEARCH("DEĞİŞECEK",D491)),ISNUMBER(SEARCH("DEGISECEK",D491)),ISNUMBER(SEARCH("DEĞİŞİM",D491)),ISNUMBER(SEARCH("DEGISIM",D491))),"PARÇA DEĞİŞİMİ",""))</f>
        <v/>
      </c>
      <c r="G491" s="47">
        <f>IF(AND(D491&lt;&gt;"",E491&lt;&gt;"",D491&lt;&gt;E491),"GÜNCELLENDİ","")</f>
        <v/>
      </c>
      <c r="H491" s="48" t="n"/>
    </row>
    <row r="492">
      <c r="A492" s="47" t="n"/>
      <c r="B492" s="47" t="n"/>
      <c r="C492" s="47" t="n"/>
      <c r="D492" s="47" t="n"/>
      <c r="E492" s="47" t="n"/>
      <c r="F492" s="47">
        <f>IF(D492="","",IF(OR(ISNUMBER(SEARCH("PARÇA DEĞİŞ",D492)),ISNUMBER(SEARCH("PARCA DEGIS",D492)),ISNUMBER(SEARCH("DEĞİŞECEK",D492)),ISNUMBER(SEARCH("DEGISECEK",D492)),ISNUMBER(SEARCH("DEĞİŞİM",D492)),ISNUMBER(SEARCH("DEGISIM",D492))),"PARÇA DEĞİŞİMİ",""))</f>
        <v/>
      </c>
      <c r="G492" s="47">
        <f>IF(AND(D492&lt;&gt;"",E492&lt;&gt;"",D492&lt;&gt;E492),"GÜNCELLENDİ","")</f>
        <v/>
      </c>
      <c r="H492" s="48" t="n"/>
    </row>
    <row r="493">
      <c r="A493" s="47" t="n"/>
      <c r="B493" s="47" t="n"/>
      <c r="C493" s="47" t="n"/>
      <c r="D493" s="47" t="n"/>
      <c r="E493" s="47" t="n"/>
      <c r="F493" s="47">
        <f>IF(D493="","",IF(OR(ISNUMBER(SEARCH("PARÇA DEĞİŞ",D493)),ISNUMBER(SEARCH("PARCA DEGIS",D493)),ISNUMBER(SEARCH("DEĞİŞECEK",D493)),ISNUMBER(SEARCH("DEGISECEK",D493)),ISNUMBER(SEARCH("DEĞİŞİM",D493)),ISNUMBER(SEARCH("DEGISIM",D493))),"PARÇA DEĞİŞİMİ",""))</f>
        <v/>
      </c>
      <c r="G493" s="47">
        <f>IF(AND(D493&lt;&gt;"",E493&lt;&gt;"",D493&lt;&gt;E493),"GÜNCELLENDİ","")</f>
        <v/>
      </c>
      <c r="H493" s="48" t="n"/>
    </row>
    <row r="494">
      <c r="A494" s="47" t="n"/>
      <c r="B494" s="47" t="n"/>
      <c r="C494" s="47" t="n"/>
      <c r="D494" s="47" t="n"/>
      <c r="E494" s="47" t="n"/>
      <c r="F494" s="47">
        <f>IF(D494="","",IF(OR(ISNUMBER(SEARCH("PARÇA DEĞİŞ",D494)),ISNUMBER(SEARCH("PARCA DEGIS",D494)),ISNUMBER(SEARCH("DEĞİŞECEK",D494)),ISNUMBER(SEARCH("DEGISECEK",D494)),ISNUMBER(SEARCH("DEĞİŞİM",D494)),ISNUMBER(SEARCH("DEGISIM",D494))),"PARÇA DEĞİŞİMİ",""))</f>
        <v/>
      </c>
      <c r="G494" s="47">
        <f>IF(AND(D494&lt;&gt;"",E494&lt;&gt;"",D494&lt;&gt;E494),"GÜNCELLENDİ","")</f>
        <v/>
      </c>
      <c r="H494" s="48" t="n"/>
    </row>
    <row r="495">
      <c r="A495" s="47" t="n"/>
      <c r="B495" s="47" t="n"/>
      <c r="C495" s="47" t="n"/>
      <c r="D495" s="47" t="n"/>
      <c r="E495" s="47" t="n"/>
      <c r="F495" s="47">
        <f>IF(D495="","",IF(OR(ISNUMBER(SEARCH("PARÇA DEĞİŞ",D495)),ISNUMBER(SEARCH("PARCA DEGIS",D495)),ISNUMBER(SEARCH("DEĞİŞECEK",D495)),ISNUMBER(SEARCH("DEGISECEK",D495)),ISNUMBER(SEARCH("DEĞİŞİM",D495)),ISNUMBER(SEARCH("DEGISIM",D495))),"PARÇA DEĞİŞİMİ",""))</f>
        <v/>
      </c>
      <c r="G495" s="47">
        <f>IF(AND(D495&lt;&gt;"",E495&lt;&gt;"",D495&lt;&gt;E495),"GÜNCELLENDİ","")</f>
        <v/>
      </c>
      <c r="H495" s="48" t="n"/>
    </row>
    <row r="496">
      <c r="A496" s="47" t="n"/>
      <c r="B496" s="47" t="n"/>
      <c r="C496" s="47" t="n"/>
      <c r="D496" s="47" t="n"/>
      <c r="E496" s="47" t="n"/>
      <c r="F496" s="47">
        <f>IF(D496="","",IF(OR(ISNUMBER(SEARCH("PARÇA DEĞİŞ",D496)),ISNUMBER(SEARCH("PARCA DEGIS",D496)),ISNUMBER(SEARCH("DEĞİŞECEK",D496)),ISNUMBER(SEARCH("DEGISECEK",D496)),ISNUMBER(SEARCH("DEĞİŞİM",D496)),ISNUMBER(SEARCH("DEGISIM",D496))),"PARÇA DEĞİŞİMİ",""))</f>
        <v/>
      </c>
      <c r="G496" s="47">
        <f>IF(AND(D496&lt;&gt;"",E496&lt;&gt;"",D496&lt;&gt;E496),"GÜNCELLENDİ","")</f>
        <v/>
      </c>
      <c r="H496" s="48" t="n"/>
    </row>
    <row r="497">
      <c r="A497" s="47" t="n"/>
      <c r="B497" s="47" t="n"/>
      <c r="C497" s="47" t="n"/>
      <c r="D497" s="47" t="n"/>
      <c r="E497" s="47" t="n"/>
      <c r="F497" s="47">
        <f>IF(D497="","",IF(OR(ISNUMBER(SEARCH("PARÇA DEĞİŞ",D497)),ISNUMBER(SEARCH("PARCA DEGIS",D497)),ISNUMBER(SEARCH("DEĞİŞECEK",D497)),ISNUMBER(SEARCH("DEGISECEK",D497)),ISNUMBER(SEARCH("DEĞİŞİM",D497)),ISNUMBER(SEARCH("DEGISIM",D497))),"PARÇA DEĞİŞİMİ",""))</f>
        <v/>
      </c>
      <c r="G497" s="47">
        <f>IF(AND(D497&lt;&gt;"",E497&lt;&gt;"",D497&lt;&gt;E497),"GÜNCELLENDİ","")</f>
        <v/>
      </c>
      <c r="H497" s="48" t="n"/>
    </row>
    <row r="498">
      <c r="A498" s="47" t="n"/>
      <c r="B498" s="47" t="n"/>
      <c r="C498" s="47" t="n"/>
      <c r="D498" s="47" t="n"/>
      <c r="E498" s="47" t="n"/>
      <c r="F498" s="47">
        <f>IF(D498="","",IF(OR(ISNUMBER(SEARCH("PARÇA DEĞİŞ",D498)),ISNUMBER(SEARCH("PARCA DEGIS",D498)),ISNUMBER(SEARCH("DEĞİŞECEK",D498)),ISNUMBER(SEARCH("DEGISECEK",D498)),ISNUMBER(SEARCH("DEĞİŞİM",D498)),ISNUMBER(SEARCH("DEGISIM",D498))),"PARÇA DEĞİŞİMİ",""))</f>
        <v/>
      </c>
      <c r="G498" s="47">
        <f>IF(AND(D498&lt;&gt;"",E498&lt;&gt;"",D498&lt;&gt;E498),"GÜNCELLENDİ","")</f>
        <v/>
      </c>
      <c r="H498" s="48" t="n"/>
    </row>
    <row r="499">
      <c r="A499" s="47" t="n"/>
      <c r="B499" s="47" t="n"/>
      <c r="C499" s="47" t="n"/>
      <c r="D499" s="47" t="n"/>
      <c r="E499" s="47" t="n"/>
      <c r="F499" s="47">
        <f>IF(D499="","",IF(OR(ISNUMBER(SEARCH("PARÇA DEĞİŞ",D499)),ISNUMBER(SEARCH("PARCA DEGIS",D499)),ISNUMBER(SEARCH("DEĞİŞECEK",D499)),ISNUMBER(SEARCH("DEGISECEK",D499)),ISNUMBER(SEARCH("DEĞİŞİM",D499)),ISNUMBER(SEARCH("DEGISIM",D499))),"PARÇA DEĞİŞİMİ",""))</f>
        <v/>
      </c>
      <c r="G499" s="47">
        <f>IF(AND(D499&lt;&gt;"",E499&lt;&gt;"",D499&lt;&gt;E499),"GÜNCELLENDİ","")</f>
        <v/>
      </c>
      <c r="H499" s="48" t="n"/>
    </row>
    <row r="500">
      <c r="A500" s="47" t="n"/>
      <c r="B500" s="47" t="n"/>
      <c r="C500" s="47" t="n"/>
      <c r="D500" s="47" t="n"/>
      <c r="E500" s="47" t="n"/>
      <c r="F500" s="47">
        <f>IF(D500="","",IF(OR(ISNUMBER(SEARCH("PARÇA DEĞİŞ",D500)),ISNUMBER(SEARCH("PARCA DEGIS",D500)),ISNUMBER(SEARCH("DEĞİŞECEK",D500)),ISNUMBER(SEARCH("DEGISECEK",D500)),ISNUMBER(SEARCH("DEĞİŞİM",D500)),ISNUMBER(SEARCH("DEGISIM",D500))),"PARÇA DEĞİŞİMİ",""))</f>
        <v/>
      </c>
      <c r="G500" s="47">
        <f>IF(AND(D500&lt;&gt;"",E500&lt;&gt;"",D500&lt;&gt;E500),"GÜNCELLENDİ","")</f>
        <v/>
      </c>
      <c r="H500" s="48" t="n"/>
    </row>
  </sheetData>
  <autoFilter ref="A1:H500"/>
  <conditionalFormatting sqref="C2:C500">
    <cfRule type="expression" priority="3" dxfId="3">
      <formula>C2="İnceleme Süreci"</formula>
    </cfRule>
    <cfRule type="expression" priority="4" dxfId="4">
      <formula>C2="Atölye İşlemde"</formula>
    </cfRule>
    <cfRule type="expression" priority="5" dxfId="5">
      <formula>C2="Parça Bekliyor"</formula>
    </cfRule>
    <cfRule type="expression" priority="6" dxfId="6">
      <formula>C2="Teslimat Sürecinde"</formula>
    </cfRule>
    <cfRule type="expression" priority="7" dxfId="7">
      <formula>C2="Tamamlandı"</formula>
    </cfRule>
  </conditionalFormatting>
  <conditionalFormatting sqref="G2:G500">
    <cfRule type="expression" priority="8" dxfId="1">
      <formula>G2="GÜNCELLENDİ"</formula>
    </cfRule>
  </conditionalFormatting>
  <conditionalFormatting sqref="F2:F500">
    <cfRule type="expression" priority="9" dxfId="8">
      <formula>F2="PARÇA DEĞİŞİMİ"</formula>
    </cfRule>
  </conditionalFormatting>
  <conditionalFormatting sqref="A2:H500">
    <cfRule type="expression" priority="10" dxfId="0">
      <formula>$G2="GÜNCELLENDİ"</formula>
    </cfRule>
  </conditionalFormatting>
  <dataValidations count="1">
    <dataValidation sqref="C2:C500" showDropDown="0" showInputMessage="0" showErrorMessage="0" allowBlank="1" errorTitle="Geçersiz süreç" error="Listeden bir süreç seçin." promptTitle="Süreç" prompt="Aracın mevcut sürecini seçin." type="list">
      <formula1>"İnceleme Süreci,Atölye İşlemde,Parça Bekliyor,Teslimat Sürecinde,Tamamlandı"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2" customWidth="1" min="1" max="1"/>
    <col width="115" customWidth="1" min="2" max="2"/>
  </cols>
  <sheetData>
    <row r="1">
      <c r="A1" s="42" t="inlineStr">
        <is>
          <t>OTOMATİK TAKİP SİSTEMİ</t>
        </is>
      </c>
      <c r="B1" s="42" t="inlineStr">
        <is>
          <t>Bu dosyada araçların ana kaynağı ARAÇ TAKİP ANA sayfasıdır.</t>
        </is>
      </c>
    </row>
    <row r="2">
      <c r="A2" t="inlineStr">
        <is>
          <t>1</t>
        </is>
      </c>
      <c r="B2" t="inlineStr">
        <is>
          <t>Araç için süreç değiştirildiğinde C sütunundaki SÜREÇ alanını değiştir. Diğer sayfalardaki listeler buna göre otomatik güncellenir (Google Sheets/Excel 365 FILTER desteği gerekir).</t>
        </is>
      </c>
    </row>
    <row r="3">
      <c r="A3" t="inlineStr">
        <is>
          <t>2</t>
        </is>
      </c>
      <c r="B3" t="inlineStr">
        <is>
          <t>DETAY / YAPILACAK İŞLEM alanını değiştirdiğinde BAŞLANGIÇ DETAYI ile karşılaştırılır ve GÜNCELLENDİ otomatik oluşur.</t>
        </is>
      </c>
    </row>
    <row r="4">
      <c r="A4" t="inlineStr">
        <is>
          <t>3</t>
        </is>
      </c>
      <c r="B4" t="inlineStr">
        <is>
          <t>Detayda OBC, İnlet, Batarya, PEU veya IDCC ifadeleri varsa PARÇA DEĞİŞİMİ / BEKLİYOR otomatik işaretlenir.</t>
        </is>
      </c>
    </row>
    <row r="5">
      <c r="A5" t="inlineStr">
        <is>
          <t>4</t>
        </is>
      </c>
      <c r="B5" t="inlineStr">
        <is>
          <t>Süreç değişince araç, ilgili süreç görünümüne otomatik taşınacak şekilde tasarlanmıştır.</t>
        </is>
      </c>
    </row>
    <row r="6">
      <c r="A6" t="inlineStr">
        <is>
          <t>5</t>
        </is>
      </c>
      <c r="B6" t="inlineStr">
        <is>
          <t>YÖNETİCİ PANELİ sayıları ana tablodan takip etmek üzere güncellenecektir.</t>
        </is>
      </c>
    </row>
    <row r="7">
      <c r="A7" t="inlineStr">
        <is>
          <t>NOT</t>
        </is>
      </c>
      <c r="B7" t="inlineStr">
        <is>
          <t>En sorunsuz ortak kullanım için dosyayı Google Drive &gt; Google E-Tablolar ile açmanı öneririm.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18" customWidth="1" min="2" max="2"/>
  </cols>
  <sheetData>
    <row r="1">
      <c r="A1" s="49" t="inlineStr">
        <is>
          <t>TOGG ÇORLU — YÖNETİCİ PANELİ</t>
        </is>
      </c>
      <c r="B1" s="43" t="n"/>
      <c r="C1" s="43" t="n"/>
      <c r="D1" s="43" t="n"/>
    </row>
    <row r="2">
      <c r="A2" s="26" t="n"/>
      <c r="B2" s="26" t="n"/>
      <c r="C2" s="26" t="n"/>
      <c r="D2" s="26" t="n"/>
    </row>
    <row r="3">
      <c r="A3" s="44" t="inlineStr">
        <is>
          <t>SÜREÇ</t>
        </is>
      </c>
      <c r="B3" s="44" t="inlineStr">
        <is>
          <t>ARAÇ SAYISI</t>
        </is>
      </c>
      <c r="C3" s="44" t="n"/>
      <c r="D3" s="44" t="n"/>
    </row>
    <row r="4">
      <c r="A4" s="26" t="inlineStr">
        <is>
          <t>İnceleme Süreci</t>
        </is>
      </c>
      <c r="B4" s="26">
        <f>COUNTIF('ARAÇ TAKİP ANA'!C2:C5000,"İnceleme Süreci")</f>
        <v/>
      </c>
      <c r="C4" s="26" t="n"/>
      <c r="D4" s="26" t="n"/>
    </row>
    <row r="5">
      <c r="A5" s="26" t="inlineStr">
        <is>
          <t>Atölye İşlemde</t>
        </is>
      </c>
      <c r="B5" s="26">
        <f>COUNTIF('ARAÇ TAKİP ANA'!C2:C5000,"Atölye İşlemde")</f>
        <v/>
      </c>
      <c r="C5" s="26" t="n"/>
      <c r="D5" s="26" t="n"/>
    </row>
    <row r="6">
      <c r="A6" s="26" t="inlineStr">
        <is>
          <t>Parça Bekliyor</t>
        </is>
      </c>
      <c r="B6" s="26">
        <f>COUNTIF('ARAÇ TAKİP ANA'!C2:C5000,"Parça Bekliyor")</f>
        <v/>
      </c>
      <c r="C6" s="26" t="n"/>
      <c r="D6" s="26" t="n"/>
    </row>
    <row r="7">
      <c r="A7" s="26" t="inlineStr">
        <is>
          <t>Teslimat Sürecinde</t>
        </is>
      </c>
      <c r="B7" s="26">
        <f>COUNTIF('ARAÇ TAKİP ANA'!C2:C5000,"Teslimat Sürecinde")</f>
        <v/>
      </c>
      <c r="C7" s="26" t="n"/>
      <c r="D7" s="26" t="n"/>
    </row>
    <row r="8">
      <c r="A8" s="26" t="n"/>
      <c r="B8" s="26" t="n"/>
      <c r="C8" s="26" t="n"/>
      <c r="D8" s="26" t="n"/>
    </row>
    <row r="9">
      <c r="A9" s="28" t="inlineStr">
        <is>
          <t>TOPLAM ARAÇ</t>
        </is>
      </c>
      <c r="B9" s="28">
        <f>SUM(B4:B7)</f>
        <v/>
      </c>
      <c r="C9" s="26" t="n"/>
      <c r="D9" s="26" t="n"/>
    </row>
    <row r="10">
      <c r="A10" s="26" t="n"/>
      <c r="B10" s="26" t="n"/>
      <c r="C10" s="26" t="n"/>
      <c r="D10" s="26" t="n"/>
    </row>
    <row r="11">
      <c r="A11" s="29" t="inlineStr">
        <is>
          <t>ATÖLYEDE GÜNCELLENEN ARAÇLAR</t>
        </is>
      </c>
      <c r="B11" s="29">
        <f>COUNTIF('ARAÇ TAKİP ANA'!G2:G5000,"GÜNCELLENDİ")</f>
        <v/>
      </c>
      <c r="C11" s="26" t="n"/>
      <c r="D11" s="26" t="n"/>
    </row>
    <row r="12">
      <c r="A12" s="26" t="n"/>
      <c r="B12" s="26" t="n"/>
      <c r="C12" s="26" t="n"/>
      <c r="D12" s="26" t="n"/>
    </row>
    <row r="13">
      <c r="A13" s="27" t="inlineStr">
        <is>
          <t>PARÇA / İŞLEM TÜRÜ</t>
        </is>
      </c>
      <c r="B13" s="27" t="inlineStr">
        <is>
          <t>ADET</t>
        </is>
      </c>
      <c r="C13" s="26" t="n"/>
      <c r="D13" s="26" t="n"/>
    </row>
    <row r="14">
      <c r="A14" s="26" t="inlineStr">
        <is>
          <t>OBC</t>
        </is>
      </c>
      <c r="B14" s="45">
        <f>COUNTIF('ARAÇ TAKİP ANA'!F2:F5000,"*OBC*")</f>
        <v/>
      </c>
      <c r="C14" s="26" t="n"/>
      <c r="D14" s="26" t="n"/>
    </row>
    <row r="15">
      <c r="A15" s="26" t="inlineStr">
        <is>
          <t>İnlet</t>
        </is>
      </c>
      <c r="B15" s="45">
        <f>COUNTIF('ARAÇ TAKİP ANA'!F2:F5000,"*İnlet*")</f>
        <v/>
      </c>
      <c r="C15" s="26" t="n"/>
      <c r="D15" s="26" t="n"/>
    </row>
    <row r="16">
      <c r="A16" s="26" t="inlineStr">
        <is>
          <t>Batarya</t>
        </is>
      </c>
      <c r="B16" s="45">
        <f>COUNTIF('ARAÇ TAKİP ANA'!F2:F5000,"*Batarya*")</f>
        <v/>
      </c>
      <c r="C16" s="26" t="n"/>
      <c r="D16" s="26" t="n"/>
    </row>
    <row r="17">
      <c r="A17" s="26" t="inlineStr">
        <is>
          <t>PEU</t>
        </is>
      </c>
      <c r="B17" s="45">
        <f>COUNTIF('ARAÇ TAKİP ANA'!F2:F5000,"*PEU*")</f>
        <v/>
      </c>
      <c r="C17" s="26" t="n"/>
      <c r="D17" s="26" t="n"/>
    </row>
    <row r="18">
      <c r="A18" s="26" t="inlineStr">
        <is>
          <t>IDCC</t>
        </is>
      </c>
      <c r="B18" s="45">
        <f>COUNTIF('ARAÇ TAKİP ANA'!F2:F5000,"*IDCC*")</f>
        <v/>
      </c>
      <c r="C18" s="26" t="n"/>
      <c r="D18" s="26" t="n"/>
    </row>
  </sheetData>
  <mergeCells count="1">
    <mergeCell ref="A1:D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"/>
  <sheetViews>
    <sheetView showGridLines="0" topLeftCell="A8" workbookViewId="0">
      <pane ySplit="1" topLeftCell="A2" activePane="bottomLeft" state="frozen"/>
      <selection pane="bottomLeft" activeCell="D1" sqref="D1"/>
    </sheetView>
  </sheetViews>
  <sheetFormatPr baseColWidth="8" defaultRowHeight="30" customHeight="1"/>
  <cols>
    <col width="15" customWidth="1" min="1" max="1"/>
    <col width="22" customWidth="1" min="2" max="2"/>
    <col width="65" customWidth="1" min="3" max="3"/>
    <col width="18" customWidth="1" min="4" max="4"/>
    <col width="28" customWidth="1" min="5" max="5"/>
  </cols>
  <sheetData>
    <row r="1" ht="30" customHeight="1">
      <c r="A1" s="41" t="inlineStr">
        <is>
          <t>PLAKA</t>
        </is>
      </c>
      <c r="B1" s="41" t="n"/>
      <c r="C1" s="41" t="n"/>
      <c r="D1" s="41" t="inlineStr">
        <is>
          <t>GÜNCELLEME</t>
        </is>
      </c>
      <c r="E1" s="41" t="inlineStr">
        <is>
          <t>PARÇA DEĞİŞİMİ</t>
        </is>
      </c>
    </row>
    <row r="2" ht="30" customHeight="1">
      <c r="A2">
        <f>FILTER('ARAÇ TAKİP ANA'!A2:A5000,'ARAÇ TAKİP ANA'!C2:C5000="İnceleme Süreci","")</f>
        <v/>
      </c>
      <c r="B2">
        <f>FILTER('ARAÇ TAKİP ANA'!B2:B5000,'ARAÇ TAKİP ANA'!C2:C5000="İnceleme Süreci","")</f>
        <v/>
      </c>
      <c r="C2">
        <f>FILTER('ARAÇ TAKİP ANA'!D2:D5000,'ARAÇ TAKİP ANA'!C2:C5000="İnceleme Süreci","")</f>
        <v/>
      </c>
      <c r="D2">
        <f>FILTER('ARAÇ TAKİP ANA'!G2:G5000,'ARAÇ TAKİP ANA'!C2:C5000="İnceleme Süreci","")</f>
        <v/>
      </c>
      <c r="E2">
        <f>FILTER('ARAÇ TAKİP ANA'!F2:F5000,'ARAÇ TAKİP ANA'!C2:C5000="İnceleme Süreci","")</f>
        <v/>
      </c>
    </row>
    <row r="3" ht="30" customHeight="1"/>
    <row r="4" ht="30" customHeight="1"/>
    <row r="5" ht="30" customHeight="1"/>
    <row r="6" ht="30" customHeight="1"/>
    <row r="7" ht="30" customHeight="1"/>
    <row r="8" ht="30" customHeight="1"/>
    <row r="9" ht="30" customHeight="1"/>
    <row r="10" ht="30" customHeight="1"/>
    <row r="11" ht="30" customHeight="1"/>
    <row r="12" ht="30" customHeight="1"/>
    <row r="13" ht="30" customHeight="1"/>
    <row r="14" ht="30" customHeight="1"/>
    <row r="15" ht="30" customHeight="1"/>
    <row r="16" ht="30" customHeight="1"/>
    <row r="17" ht="30" customHeight="1"/>
    <row r="18" ht="30" customHeight="1"/>
    <row r="19" ht="30" customHeight="1"/>
    <row r="20" ht="30" customHeight="1"/>
    <row r="21" ht="30" customHeight="1"/>
    <row r="22" ht="30" customHeight="1"/>
    <row r="23" ht="30" customHeight="1"/>
    <row r="24" ht="30" customHeight="1"/>
    <row r="25" ht="30" customHeight="1"/>
    <row r="26" ht="30" customHeight="1"/>
    <row r="27" ht="30" customHeight="1"/>
    <row r="28" ht="30" customHeight="1"/>
    <row r="29" ht="30" customHeight="1"/>
    <row r="30" ht="30" customHeight="1"/>
    <row r="31" ht="30" customHeight="1"/>
  </sheetData>
  <autoFilter ref="A1:D31"/>
  <mergeCells count="1">
    <mergeCell ref="A1:C1"/>
  </mergeCells>
  <conditionalFormatting sqref="D2:D5000">
    <cfRule type="expression" priority="1" dxfId="1">
      <formula>$D2="GÜNCELLENDİ"</formula>
    </cfRule>
  </conditionalFormatting>
  <conditionalFormatting sqref="E2:E5000">
    <cfRule type="expression" priority="2" dxfId="2">
      <formula>$E2&lt;&gt;""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"/>
  <sheetViews>
    <sheetView showGridLines="0" tabSelected="1" topLeftCell="B1" workbookViewId="0">
      <pane ySplit="1" topLeftCell="A2" activePane="bottomLeft" state="frozen"/>
      <selection pane="bottomLeft" activeCell="C17" sqref="C17"/>
    </sheetView>
  </sheetViews>
  <sheetFormatPr baseColWidth="8" defaultColWidth="12.23828125" defaultRowHeight="30" customHeight="1"/>
  <cols>
    <col width="15" customWidth="1" min="1" max="1"/>
    <col width="22" customWidth="1" min="2" max="2"/>
    <col width="65" customWidth="1" min="3" max="3"/>
    <col width="18" customWidth="1" min="4" max="4"/>
    <col hidden="1" width="28" customWidth="1" min="5" max="5"/>
  </cols>
  <sheetData>
    <row r="1" ht="30" customHeight="1">
      <c r="A1" s="41" t="inlineStr">
        <is>
          <t>PLAKA</t>
        </is>
      </c>
      <c r="B1" s="41" t="n"/>
      <c r="C1" s="41" t="n"/>
      <c r="D1" s="41" t="inlineStr">
        <is>
          <t>GÜNCELLEME</t>
        </is>
      </c>
      <c r="E1" s="41" t="inlineStr">
        <is>
          <t>PARÇA DEĞİŞİMİ</t>
        </is>
      </c>
    </row>
    <row r="2" ht="30" customHeight="1">
      <c r="A2">
        <f>FILTER('ARAÇ TAKİP ANA'!A2:A5000,'ARAÇ TAKİP ANA'!C2:C5000="Atölye İşlemde","")</f>
        <v/>
      </c>
      <c r="B2">
        <f>FILTER('ARAÇ TAKİP ANA'!B2:B5000,'ARAÇ TAKİP ANA'!C2:C5000="Atölye İşlemde","")</f>
        <v/>
      </c>
      <c r="C2">
        <f>FILTER('ARAÇ TAKİP ANA'!D2:D5000,'ARAÇ TAKİP ANA'!C2:C5000="Atölye İşlemde","")</f>
        <v/>
      </c>
      <c r="D2">
        <f>FILTER('ARAÇ TAKİP ANA'!G2:G5000,'ARAÇ TAKİP ANA'!C2:C5000="Atölye İşlemde","")</f>
        <v/>
      </c>
      <c r="E2">
        <f>FILTER('ARAÇ TAKİP ANA'!F2:F5000,'ARAÇ TAKİP ANA'!C2:C5000="Atölye İşlemde","")</f>
        <v/>
      </c>
    </row>
    <row r="3" ht="30" customHeight="1"/>
    <row r="4" ht="30" customHeight="1"/>
    <row r="5" ht="30" customHeight="1"/>
    <row r="6" ht="30" customHeight="1"/>
    <row r="7" ht="30" customHeight="1"/>
    <row r="8" ht="30" customHeight="1"/>
    <row r="9" ht="30" customHeight="1"/>
    <row r="10" ht="30" customHeight="1"/>
    <row r="11" ht="30" customHeight="1"/>
    <row r="12" ht="30" customHeight="1"/>
    <row r="13" ht="30" customHeight="1"/>
    <row r="14" ht="30" customHeight="1"/>
    <row r="15" ht="30" customHeight="1"/>
    <row r="16" ht="30" customHeight="1"/>
    <row r="17" ht="30" customHeight="1"/>
    <row r="18" ht="30" customHeight="1"/>
    <row r="19" ht="30" customHeight="1"/>
    <row r="20" ht="30" customHeight="1"/>
    <row r="21" ht="30" customHeight="1"/>
  </sheetData>
  <autoFilter ref="A1:E21"/>
  <mergeCells count="1">
    <mergeCell ref="A1:C1"/>
  </mergeCells>
  <conditionalFormatting sqref="A2:D21">
    <cfRule type="expression" priority="1" dxfId="0">
      <formula>AND($C2&lt;&gt;"",$C2&lt;&gt;$E2)</formula>
    </cfRule>
  </conditionalFormatting>
  <conditionalFormatting sqref="D2:D5000">
    <cfRule type="expression" priority="2" dxfId="1">
      <formula>$D2="GÜNCELLENDİ"</formula>
    </cfRule>
  </conditionalFormatting>
  <conditionalFormatting sqref="E2:E5000">
    <cfRule type="expression" priority="3" dxfId="2">
      <formula>$E2&lt;&gt;""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"/>
  <sheetViews>
    <sheetView showGridLines="0" workbookViewId="0">
      <pane ySplit="1" topLeftCell="A2" activePane="bottomLeft" state="frozen"/>
      <selection pane="bottomLeft" activeCell="C7" sqref="C7"/>
    </sheetView>
  </sheetViews>
  <sheetFormatPr baseColWidth="8" defaultRowHeight="30" customHeight="1"/>
  <cols>
    <col width="15" customWidth="1" min="1" max="1"/>
    <col width="22" customWidth="1" min="2" max="2"/>
    <col width="65" customWidth="1" min="3" max="3"/>
    <col width="18" customWidth="1" min="4" max="4"/>
    <col width="28" customWidth="1" min="5" max="5"/>
  </cols>
  <sheetData>
    <row r="1" ht="30" customHeight="1">
      <c r="A1" s="41" t="inlineStr">
        <is>
          <t>PLAKA</t>
        </is>
      </c>
      <c r="B1" s="41" t="n"/>
      <c r="C1" s="41" t="n"/>
      <c r="D1" s="41" t="inlineStr">
        <is>
          <t>GÜNCELLEME</t>
        </is>
      </c>
      <c r="E1" s="41" t="inlineStr">
        <is>
          <t>PARÇA DEĞİŞİMİ</t>
        </is>
      </c>
    </row>
    <row r="2" ht="30" customHeight="1">
      <c r="A2">
        <f>FILTER('ARAÇ TAKİP ANA'!A2:A5000,'ARAÇ TAKİP ANA'!C2:C5000="Parça Bekliyor","")</f>
        <v/>
      </c>
      <c r="B2">
        <f>FILTER('ARAÇ TAKİP ANA'!B2:B5000,'ARAÇ TAKİP ANA'!C2:C5000="Parça Bekliyor","")</f>
        <v/>
      </c>
      <c r="C2">
        <f>FILTER('ARAÇ TAKİP ANA'!D2:D5000,'ARAÇ TAKİP ANA'!C2:C5000="Parça Bekliyor","")</f>
        <v/>
      </c>
      <c r="D2">
        <f>FILTER('ARAÇ TAKİP ANA'!G2:G5000,'ARAÇ TAKİP ANA'!C2:C5000="Parça Bekliyor","")</f>
        <v/>
      </c>
      <c r="E2">
        <f>FILTER('ARAÇ TAKİP ANA'!F2:F5000,'ARAÇ TAKİP ANA'!C2:C5000="Parça Bekliyor","")</f>
        <v/>
      </c>
    </row>
    <row r="3" ht="30" customHeight="1"/>
    <row r="4" ht="30" customHeight="1"/>
    <row r="5" ht="30" customHeight="1"/>
    <row r="6" ht="30" customHeight="1"/>
    <row r="7" ht="30" customHeight="1"/>
    <row r="8" ht="30" customHeight="1"/>
    <row r="9" ht="30" customHeight="1"/>
    <row r="10" ht="30" customHeight="1"/>
    <row r="11" ht="30" customHeight="1"/>
    <row r="12" ht="30" customHeight="1"/>
    <row r="13" ht="30" customHeight="1"/>
    <row r="14" ht="30" customHeight="1"/>
    <row r="15" ht="30" customHeight="1"/>
    <row r="16" ht="30" customHeight="1"/>
    <row r="17" ht="30" customHeight="1"/>
    <row r="18" ht="30" customHeight="1"/>
    <row r="19" ht="30" customHeight="1"/>
    <row r="20" ht="30" customHeight="1"/>
    <row r="21" ht="30" customHeight="1"/>
    <row r="22" ht="30" customHeight="1"/>
    <row r="23" ht="30" customHeight="1"/>
  </sheetData>
  <autoFilter ref="A1:C23"/>
  <mergeCells count="1">
    <mergeCell ref="A1:C1"/>
  </mergeCells>
  <conditionalFormatting sqref="D2:D5000">
    <cfRule type="expression" priority="1" dxfId="1">
      <formula>$D2="GÜNCELLENDİ"</formula>
    </cfRule>
  </conditionalFormatting>
  <conditionalFormatting sqref="E2:E5000">
    <cfRule type="expression" priority="2" dxfId="2">
      <formula>$E2&lt;&gt;""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"/>
  <sheetViews>
    <sheetView showGridLines="0" zoomScale="80" workbookViewId="0">
      <pane ySplit="1" topLeftCell="A2" activePane="bottomLeft" state="frozen"/>
      <selection pane="bottomLeft" activeCell="C16" sqref="C16"/>
    </sheetView>
  </sheetViews>
  <sheetFormatPr baseColWidth="8" defaultRowHeight="30" customHeight="1"/>
  <cols>
    <col width="15" customWidth="1" min="1" max="1"/>
    <col width="22" customWidth="1" min="2" max="2"/>
    <col width="65" customWidth="1" min="3" max="3"/>
    <col width="18" customWidth="1" min="4" max="4"/>
    <col width="28" customWidth="1" min="5" max="5"/>
  </cols>
  <sheetData>
    <row r="1" ht="30" customHeight="1">
      <c r="A1" s="41" t="inlineStr">
        <is>
          <t>PLAKA</t>
        </is>
      </c>
      <c r="B1" s="41" t="inlineStr">
        <is>
          <t>ŞASİ</t>
        </is>
      </c>
      <c r="C1" s="41" t="inlineStr">
        <is>
          <t>DETAY / YAPILACAK İŞLEM</t>
        </is>
      </c>
      <c r="D1" s="41" t="inlineStr">
        <is>
          <t>GÜNCELLEME</t>
        </is>
      </c>
      <c r="E1" s="41" t="inlineStr">
        <is>
          <t>PARÇA DEĞİŞİMİ</t>
        </is>
      </c>
    </row>
    <row r="2" ht="30" customHeight="1">
      <c r="A2">
        <f>FILTER('ARAÇ TAKİP ANA'!A2:A5000,'ARAÇ TAKİP ANA'!C2:C5000="Teslimat Sürecinde","")</f>
        <v/>
      </c>
      <c r="B2">
        <f>FILTER('ARAÇ TAKİP ANA'!B2:B5000,'ARAÇ TAKİP ANA'!C2:C5000="Teslimat Sürecinde","")</f>
        <v/>
      </c>
      <c r="C2">
        <f>FILTER('ARAÇ TAKİP ANA'!D2:D5000,'ARAÇ TAKİP ANA'!C2:C5000="Teslimat Sürecinde","")</f>
        <v/>
      </c>
      <c r="D2">
        <f>FILTER('ARAÇ TAKİP ANA'!G2:G5000,'ARAÇ TAKİP ANA'!C2:C5000="Teslimat Sürecinde","")</f>
        <v/>
      </c>
      <c r="E2">
        <f>FILTER('ARAÇ TAKİP ANA'!F2:F5000,'ARAÇ TAKİP ANA'!C2:C5000="Teslimat Sürecinde","")</f>
        <v/>
      </c>
    </row>
    <row r="3" ht="30" customHeight="1"/>
    <row r="4" ht="30" customHeight="1"/>
    <row r="5" ht="30" customHeight="1"/>
    <row r="6" ht="30" customHeight="1"/>
    <row r="7" ht="30" customHeight="1"/>
    <row r="8" ht="30" customHeight="1"/>
    <row r="9" ht="30" customHeight="1"/>
    <row r="10" ht="30" customHeight="1"/>
    <row r="11" ht="30" customHeight="1"/>
    <row r="12" ht="30" customHeight="1"/>
    <row r="13" ht="30" customHeight="1"/>
    <row r="14" ht="30" customHeight="1"/>
    <row r="15" ht="30" customHeight="1"/>
    <row r="16" ht="30" customHeight="1"/>
    <row r="17" ht="30" customHeight="1"/>
    <row r="18" ht="30" customHeight="1"/>
    <row r="19" ht="30" customHeight="1"/>
    <row r="20" ht="30" customHeight="1"/>
    <row r="21" ht="30" customHeight="1"/>
    <row r="22" ht="30" customHeight="1"/>
    <row r="23" ht="30" customHeight="1"/>
    <row r="24" ht="30" customHeight="1"/>
    <row r="25" ht="30" customHeight="1"/>
    <row r="26" ht="30" customHeight="1"/>
    <row r="27" ht="30" customHeight="1"/>
  </sheetData>
  <autoFilter ref="A1:C27"/>
  <conditionalFormatting sqref="D2:D5000">
    <cfRule type="expression" priority="1" dxfId="1">
      <formula>$D2="GÜNCELLENDİ"</formula>
    </cfRule>
  </conditionalFormatting>
  <conditionalFormatting sqref="E2:E5000">
    <cfRule type="expression" priority="2" dxfId="2">
      <formula>$E2&lt;&gt;""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2026-09-22T13:46:45Z</dcterms:created>
  <dcterms:modified xmlns:dcterms="http://purl.org/dc/terms/" xmlns:xsi="http://www.w3.org/2001/XMLSchema-instance" xsi:type="dcterms:W3CDTF">2026-09-22T21:30:28Z</dcterms:modified>
  <cp:lastModifiedBy>Aleyna Uzun (Volkan Trakya)</cp:lastModifiedBy>
</cp:coreProperties>
</file>